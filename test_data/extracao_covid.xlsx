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marci\Downloads\18 JULHO 2025\"/>
    </mc:Choice>
  </mc:AlternateContent>
  <xr:revisionPtr revIDLastSave="0" documentId="13_ncr:1_{BFDC301E-D59B-4E61-9B2C-9BA26B97AC4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LANILHA EXTRAÇÃO" sheetId="1" r:id="rId1"/>
    <sheet name="PLANILHA DETECÇÃO" sheetId="2" r:id="rId2"/>
  </sheets>
  <definedNames>
    <definedName name="_xlnm.Print_Area" localSheetId="1">'PLANILHA DETECÇÃO'!$A$1:$Y$71</definedName>
    <definedName name="_xlnm.Print_Area" localSheetId="0">'PLANILHA EXTRAÇÃO'!$A$1:$M$32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" i="2" l="1"/>
  <c r="D9" i="2" l="1"/>
  <c r="P22" i="2" l="1"/>
  <c r="K8" i="2" l="1"/>
  <c r="P18" i="2" l="1"/>
  <c r="B12" i="2" l="1"/>
  <c r="X26" i="2" l="1"/>
  <c r="X24" i="2"/>
  <c r="X22" i="2"/>
  <c r="X20" i="2"/>
  <c r="X18" i="2"/>
  <c r="X16" i="2"/>
  <c r="X14" i="2"/>
  <c r="X12" i="2"/>
  <c r="V26" i="2"/>
  <c r="V24" i="2"/>
  <c r="V22" i="2"/>
  <c r="V20" i="2"/>
  <c r="V18" i="2"/>
  <c r="V16" i="2"/>
  <c r="V14" i="2"/>
  <c r="V12" i="2"/>
  <c r="T26" i="2"/>
  <c r="T24" i="2"/>
  <c r="T22" i="2"/>
  <c r="T20" i="2"/>
  <c r="T18" i="2"/>
  <c r="T16" i="2"/>
  <c r="T14" i="2"/>
  <c r="T12" i="2"/>
  <c r="R26" i="2"/>
  <c r="R24" i="2"/>
  <c r="R22" i="2"/>
  <c r="R20" i="2"/>
  <c r="R18" i="2"/>
  <c r="R16" i="2"/>
  <c r="R14" i="2"/>
  <c r="R12" i="2"/>
  <c r="P26" i="2"/>
  <c r="P24" i="2"/>
  <c r="P20" i="2"/>
  <c r="P16" i="2"/>
  <c r="P14" i="2"/>
  <c r="P12" i="2"/>
  <c r="N26" i="2"/>
  <c r="N24" i="2"/>
  <c r="N22" i="2"/>
  <c r="N20" i="2"/>
  <c r="N18" i="2"/>
  <c r="N16" i="2"/>
  <c r="N14" i="2"/>
  <c r="N12" i="2"/>
  <c r="L26" i="2"/>
  <c r="L24" i="2"/>
  <c r="L22" i="2"/>
  <c r="L20" i="2"/>
  <c r="L18" i="2"/>
  <c r="L16" i="2"/>
  <c r="L14" i="2"/>
  <c r="L12" i="2"/>
  <c r="J26" i="2"/>
  <c r="J24" i="2"/>
  <c r="J22" i="2"/>
  <c r="J20" i="2"/>
  <c r="J18" i="2"/>
  <c r="J16" i="2"/>
  <c r="J14" i="2"/>
  <c r="J12" i="2"/>
  <c r="H26" i="2"/>
  <c r="H24" i="2"/>
  <c r="H22" i="2"/>
  <c r="H20" i="2"/>
  <c r="H18" i="2"/>
  <c r="H16" i="2"/>
  <c r="H14" i="2"/>
  <c r="H12" i="2"/>
  <c r="F26" i="2"/>
  <c r="F24" i="2"/>
  <c r="F22" i="2"/>
  <c r="F20" i="2"/>
  <c r="F18" i="2"/>
  <c r="F16" i="2"/>
  <c r="F14" i="2"/>
  <c r="F12" i="2"/>
  <c r="D26" i="2"/>
  <c r="D24" i="2"/>
  <c r="D22" i="2"/>
  <c r="D20" i="2"/>
  <c r="D18" i="2"/>
  <c r="D16" i="2"/>
  <c r="D14" i="2"/>
  <c r="D12" i="2"/>
  <c r="B26" i="2"/>
  <c r="B24" i="2"/>
  <c r="B22" i="2"/>
  <c r="B20" i="2"/>
  <c r="B18" i="2"/>
  <c r="B16" i="2"/>
  <c r="B14" i="2"/>
</calcChain>
</file>

<file path=xl/sharedStrings.xml><?xml version="1.0" encoding="utf-8"?>
<sst xmlns="http://schemas.openxmlformats.org/spreadsheetml/2006/main" count="208" uniqueCount="110">
  <si>
    <t>A</t>
  </si>
  <si>
    <t>B</t>
  </si>
  <si>
    <t>C</t>
  </si>
  <si>
    <t>D</t>
  </si>
  <si>
    <t>E</t>
  </si>
  <si>
    <t>F</t>
  </si>
  <si>
    <t>G</t>
  </si>
  <si>
    <t>H</t>
  </si>
  <si>
    <t>Kit de Extração</t>
  </si>
  <si>
    <t>Lote</t>
  </si>
  <si>
    <t>Validade</t>
  </si>
  <si>
    <t>Etapa</t>
  </si>
  <si>
    <t>Responsável</t>
  </si>
  <si>
    <t>Manutenção</t>
  </si>
  <si>
    <t>Extração</t>
  </si>
  <si>
    <t>RESULTADO:</t>
  </si>
  <si>
    <t>R</t>
  </si>
  <si>
    <t xml:space="preserve">Data PCR: </t>
  </si>
  <si>
    <t>MIX</t>
  </si>
  <si>
    <t>Total</t>
  </si>
  <si>
    <t>Validação (CONTROLES)</t>
  </si>
  <si>
    <t>VOL X 1</t>
  </si>
  <si>
    <t>Temperatura</t>
  </si>
  <si>
    <t>Duração</t>
  </si>
  <si>
    <t>Mistura de PCR</t>
  </si>
  <si>
    <t>VOL X 96</t>
  </si>
  <si>
    <t>VOL X _____</t>
  </si>
  <si>
    <t>EQ PCR: __________</t>
  </si>
  <si>
    <t>Aplicação EQ: __________</t>
  </si>
  <si>
    <t>MIX EQ: _________</t>
  </si>
  <si>
    <t>____ µl</t>
  </si>
  <si>
    <t>____ µL</t>
  </si>
  <si>
    <t>___ µL</t>
  </si>
  <si>
    <t>__°C</t>
  </si>
  <si>
    <t>__ min</t>
  </si>
  <si>
    <t>__ seg</t>
  </si>
  <si>
    <t>Volume amostra: __ µL</t>
  </si>
  <si>
    <r>
      <t xml:space="preserve">KIT: </t>
    </r>
    <r>
      <rPr>
        <b/>
        <i/>
        <sz val="10"/>
        <color theme="1"/>
        <rFont val="Arial"/>
        <family val="2"/>
      </rPr>
      <t>_________________________________________________</t>
    </r>
  </si>
  <si>
    <t>LOTE: __________________________</t>
  </si>
  <si>
    <t>VALIDADE: ___________________________</t>
  </si>
  <si>
    <t>Critérios de aceitação dos controles negativo e positivo:</t>
  </si>
  <si>
    <t>Interpretação dos resultados:</t>
  </si>
  <si>
    <t>LEGENDA:</t>
  </si>
  <si>
    <t>ND: Não detectável</t>
  </si>
  <si>
    <t>CP: Controle positivo</t>
  </si>
  <si>
    <t>CN: Controle Negativo</t>
  </si>
  <si>
    <t>R: Resultado</t>
  </si>
  <si>
    <t>Ok: Dentro dos limites</t>
  </si>
  <si>
    <t>FA: for a dos limites</t>
  </si>
  <si>
    <t>NT: Não testado</t>
  </si>
  <si>
    <t>D: Detectável</t>
  </si>
  <si>
    <r>
      <rPr>
        <sz val="9"/>
        <color theme="1"/>
        <rFont val="Calibri"/>
        <family val="2"/>
      </rPr>
      <t>↓</t>
    </r>
    <r>
      <rPr>
        <b/>
        <sz val="9"/>
        <color theme="1"/>
        <rFont val="Arial Narrow"/>
        <family val="2"/>
      </rPr>
      <t xml:space="preserve"> Ordem de leitura:</t>
    </r>
  </si>
  <si>
    <r>
      <rPr>
        <b/>
        <sz val="10"/>
        <color theme="1"/>
        <rFont val="Arial"/>
        <family val="2"/>
      </rPr>
      <t>OBS:</t>
    </r>
    <r>
      <rPr>
        <sz val="10"/>
        <color theme="1"/>
        <rFont val="Arial"/>
        <family val="2"/>
      </rPr>
      <t xml:space="preserve"> _____________________________________________________</t>
    </r>
  </si>
  <si>
    <t>__________________________________________________________</t>
  </si>
  <si>
    <t>Superintendência de Vigilância em Saúde</t>
  </si>
  <si>
    <t>Laboratório Central de Saúde Pública - LACEN</t>
  </si>
  <si>
    <t xml:space="preserve">ESTADO DE SANTA CATARINA </t>
  </si>
  <si>
    <t>Secretaria de Estado da Saúde</t>
  </si>
  <si>
    <t xml:space="preserve">Extração/EQ: </t>
  </si>
  <si>
    <t xml:space="preserve">Superintendência de Vigilância em Saúde </t>
  </si>
  <si>
    <t>RESPONSÁVEL PCR: ____________________________</t>
  </si>
  <si>
    <t>Placa:</t>
  </si>
  <si>
    <t>Interpretação/Resp: _____________________</t>
  </si>
  <si>
    <t>Digitação/Resp: ________________________</t>
  </si>
  <si>
    <t>Liberação/Resp: ________________________</t>
  </si>
  <si>
    <t>Mix oligos</t>
  </si>
  <si>
    <t>CICLAGEM</t>
  </si>
  <si>
    <t>__ ciclos</t>
  </si>
  <si>
    <r>
      <t xml:space="preserve">Usar o </t>
    </r>
    <r>
      <rPr>
        <b/>
        <i/>
        <sz val="10"/>
        <color theme="1"/>
        <rFont val="Arial"/>
        <family val="2"/>
      </rPr>
      <t>vortex</t>
    </r>
    <r>
      <rPr>
        <b/>
        <sz val="10"/>
        <color theme="1"/>
        <rFont val="Arial"/>
        <family val="2"/>
      </rPr>
      <t xml:space="preserve"> e dar </t>
    </r>
    <r>
      <rPr>
        <b/>
        <i/>
        <sz val="10"/>
        <color theme="1"/>
        <rFont val="Arial"/>
        <family val="2"/>
      </rPr>
      <t>spin</t>
    </r>
    <r>
      <rPr>
        <b/>
        <sz val="10"/>
        <color theme="1"/>
        <rFont val="Arial"/>
        <family val="2"/>
      </rPr>
      <t xml:space="preserve"> nos reagentes antes de fazer o mix.</t>
    </r>
  </si>
  <si>
    <t>Volume Mix na placa: __ µL</t>
  </si>
  <si>
    <t>CP ____</t>
  </si>
  <si>
    <t>CN ____</t>
  </si>
  <si>
    <t>Nome do arquivo: ___________________________________</t>
  </si>
  <si>
    <r>
      <t xml:space="preserve">Obs: </t>
    </r>
    <r>
      <rPr>
        <sz val="12"/>
        <color rgb="FF000000"/>
        <rFont val="Arial"/>
        <family val="2"/>
      </rPr>
      <t>______________________________________________________________________________________________________</t>
    </r>
  </si>
  <si>
    <t>EXTRAÇÃO de RNA/DNA</t>
  </si>
  <si>
    <t>EXT/EQ/DATA</t>
  </si>
  <si>
    <t>VR: Vírus respiratórios</t>
  </si>
  <si>
    <t>MEN: Meningite</t>
  </si>
  <si>
    <t>SAR: Sarampo</t>
  </si>
  <si>
    <t>ORO/MAY: Oropouche/Mayaro</t>
  </si>
  <si>
    <t>HRP/MPX: Herpes/Monkeypox</t>
  </si>
  <si>
    <t>COQ: Coqueluche</t>
  </si>
  <si>
    <t>NA =  Não se aplica</t>
  </si>
  <si>
    <t>R = Repetição</t>
  </si>
  <si>
    <t>Controles</t>
  </si>
  <si>
    <t>Agravos</t>
  </si>
  <si>
    <t>Colunas</t>
  </si>
  <si>
    <t>___________________________________________________________________________________________________________________________________</t>
  </si>
  <si>
    <t>Rastreabilidade: _________________________________________________</t>
  </si>
  <si>
    <t>______________________________________________________________</t>
  </si>
  <si>
    <t>Rastreabilidade: ____________________________________________________________________</t>
  </si>
  <si>
    <t>_________________________________________________________________</t>
  </si>
  <si>
    <t xml:space="preserve">Rastreabilidade: POP RT 5.5 BIMOL-167 Extratores automatizados (01/00)
</t>
  </si>
  <si>
    <t>Estado de Santa Catarina</t>
  </si>
  <si>
    <t>Montagem da planilha:</t>
  </si>
  <si>
    <t xml:space="preserve">Resp./data: </t>
  </si>
  <si>
    <t>EXT 49 EXTRACTA 18/07/2025</t>
  </si>
  <si>
    <t>422386149R</t>
  </si>
  <si>
    <t>422386266R</t>
  </si>
  <si>
    <t>422386156R</t>
  </si>
  <si>
    <t>X</t>
  </si>
  <si>
    <t>CP</t>
  </si>
  <si>
    <t>COVID</t>
  </si>
  <si>
    <t>ZDC</t>
  </si>
  <si>
    <t>COLUNA 12 SC TRANSPLANTE COVID</t>
  </si>
  <si>
    <t>PT96PVMDX002</t>
  </si>
  <si>
    <t>PAULA 18/07/2025</t>
  </si>
  <si>
    <t>1 à 5</t>
  </si>
  <si>
    <t>KEILLEN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</si>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</sst>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 Narrow"/>
      <family val="2"/>
    </font>
    <font>
      <sz val="10"/>
      <color theme="1"/>
      <name val="Arial Narrow"/>
      <family val="2"/>
    </font>
    <font>
      <sz val="7"/>
      <color rgb="FF000000"/>
      <name val="Arial Narrow"/>
      <family val="2"/>
    </font>
    <font>
      <sz val="12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7"/>
      <color rgb="FF000000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8"/>
      <color theme="1"/>
      <name val="Arial"/>
      <family val="2"/>
    </font>
    <font>
      <b/>
      <i/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0" fillId="0" borderId="9" xfId="0" applyBorder="1"/>
    <xf numFmtId="0" fontId="13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1" fillId="0" borderId="9" xfId="0" applyFont="1" applyBorder="1" applyAlignment="1">
      <alignment horizontal="left"/>
    </xf>
    <xf numFmtId="0" fontId="21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vertical="center"/>
    </xf>
    <xf numFmtId="0" fontId="22" fillId="0" borderId="0" xfId="0" applyFont="1"/>
    <xf numFmtId="0" fontId="1" fillId="0" borderId="0" xfId="0" applyFont="1"/>
    <xf numFmtId="0" fontId="23" fillId="0" borderId="0" xfId="0" applyFont="1"/>
    <xf numFmtId="0" fontId="2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4" fillId="0" borderId="0" xfId="0" applyFont="1"/>
    <xf numFmtId="0" fontId="18" fillId="2" borderId="6" xfId="0" applyFont="1" applyFill="1" applyBorder="1" applyAlignment="1">
      <alignment horizontal="center" vertical="center" wrapText="1"/>
    </xf>
    <xf numFmtId="0" fontId="27" fillId="0" borderId="6" xfId="0" applyFont="1" applyBorder="1" applyAlignment="1">
      <alignment horizontal="center"/>
    </xf>
    <xf numFmtId="0" fontId="18" fillId="2" borderId="6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0" fillId="0" borderId="0" xfId="0" applyAlignment="1">
      <alignment vertical="center"/>
    </xf>
    <xf numFmtId="0" fontId="20" fillId="0" borderId="6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" fillId="0" borderId="0" xfId="0" applyFont="1"/>
    <xf numFmtId="0" fontId="12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29" fillId="0" borderId="0" xfId="0" applyFont="1"/>
    <xf numFmtId="0" fontId="22" fillId="0" borderId="20" xfId="0" applyFont="1" applyBorder="1"/>
    <xf numFmtId="0" fontId="22" fillId="0" borderId="20" xfId="0" applyFont="1" applyBorder="1" applyAlignment="1">
      <alignment vertical="center"/>
    </xf>
    <xf numFmtId="0" fontId="22" fillId="0" borderId="0" xfId="0" applyFont="1" applyAlignment="1">
      <alignment vertical="top" wrapText="1"/>
    </xf>
    <xf numFmtId="0" fontId="14" fillId="4" borderId="13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horizontal="center" vertical="center"/>
    </xf>
    <xf numFmtId="0" fontId="14" fillId="4" borderId="40" xfId="0" applyFont="1" applyFill="1" applyBorder="1" applyAlignment="1">
      <alignment horizontal="center" vertical="center"/>
    </xf>
    <xf numFmtId="0" fontId="0" fillId="0" borderId="6" xfId="0" applyBorder="1"/>
    <xf numFmtId="0" fontId="22" fillId="0" borderId="21" xfId="0" applyFont="1" applyBorder="1"/>
    <xf numFmtId="0" fontId="31" fillId="0" borderId="19" xfId="0" applyFont="1" applyBorder="1"/>
    <xf numFmtId="0" fontId="22" fillId="0" borderId="21" xfId="0" applyFont="1" applyBorder="1" applyAlignment="1">
      <alignment vertical="center"/>
    </xf>
    <xf numFmtId="0" fontId="31" fillId="0" borderId="17" xfId="0" applyFont="1" applyBorder="1"/>
    <xf numFmtId="0" fontId="22" fillId="0" borderId="15" xfId="0" applyFont="1" applyBorder="1" applyAlignment="1">
      <alignment vertical="center"/>
    </xf>
    <xf numFmtId="0" fontId="22" fillId="0" borderId="42" xfId="0" applyFont="1" applyBorder="1"/>
    <xf numFmtId="0" fontId="22" fillId="0" borderId="43" xfId="0" applyFont="1" applyBorder="1"/>
    <xf numFmtId="0" fontId="21" fillId="0" borderId="43" xfId="0" applyFont="1" applyBorder="1" applyAlignment="1">
      <alignment vertical="center"/>
    </xf>
    <xf numFmtId="0" fontId="22" fillId="0" borderId="44" xfId="0" applyFont="1" applyBorder="1" applyAlignment="1">
      <alignment vertical="center"/>
    </xf>
    <xf numFmtId="0" fontId="23" fillId="0" borderId="25" xfId="0" applyFont="1" applyBorder="1" applyAlignment="1">
      <alignment vertical="center"/>
    </xf>
    <xf numFmtId="0" fontId="23" fillId="0" borderId="26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0" fillId="0" borderId="7" xfId="0" applyBorder="1"/>
    <xf numFmtId="0" fontId="21" fillId="0" borderId="6" xfId="0" applyFont="1" applyBorder="1"/>
    <xf numFmtId="0" fontId="22" fillId="0" borderId="6" xfId="0" applyFont="1" applyBorder="1" applyAlignment="1">
      <alignment horizontal="center"/>
    </xf>
    <xf numFmtId="0" fontId="21" fillId="0" borderId="6" xfId="0" applyFont="1" applyBorder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0" fontId="20" fillId="0" borderId="6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/>
    </xf>
    <xf numFmtId="0" fontId="27" fillId="0" borderId="49" xfId="0" applyFont="1" applyBorder="1" applyAlignment="1">
      <alignment horizontal="left" vertical="center"/>
    </xf>
    <xf numFmtId="0" fontId="0" fillId="0" borderId="3" xfId="0" applyBorder="1"/>
    <xf numFmtId="0" fontId="27" fillId="0" borderId="49" xfId="0" applyFont="1" applyBorder="1" applyAlignment="1">
      <alignment horizontal="left"/>
    </xf>
    <xf numFmtId="0" fontId="27" fillId="0" borderId="49" xfId="0" applyFont="1" applyBorder="1"/>
    <xf numFmtId="0" fontId="18" fillId="0" borderId="49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7" fillId="0" borderId="4" xfId="0" applyFont="1" applyBorder="1"/>
    <xf numFmtId="0" fontId="0" fillId="0" borderId="5" xfId="0" applyBorder="1"/>
    <xf numFmtId="0" fontId="21" fillId="0" borderId="10" xfId="0" applyFont="1" applyBorder="1"/>
    <xf numFmtId="0" fontId="22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/>
    </xf>
    <xf numFmtId="0" fontId="21" fillId="0" borderId="6" xfId="0" applyFont="1" applyBorder="1" applyAlignment="1">
      <alignment horizontal="left"/>
    </xf>
    <xf numFmtId="0" fontId="22" fillId="0" borderId="11" xfId="0" applyFont="1" applyBorder="1" applyAlignment="1">
      <alignment horizontal="center"/>
    </xf>
    <xf numFmtId="0" fontId="33" fillId="0" borderId="8" xfId="0" applyFont="1" applyBorder="1" applyAlignment="1">
      <alignment horizontal="center"/>
    </xf>
    <xf numFmtId="0" fontId="33" fillId="0" borderId="6" xfId="0" applyFont="1" applyBorder="1" applyAlignment="1">
      <alignment horizontal="center"/>
    </xf>
    <xf numFmtId="0" fontId="34" fillId="2" borderId="6" xfId="0" applyFont="1" applyFill="1" applyBorder="1" applyAlignment="1">
      <alignment horizontal="center" vertical="center" wrapText="1"/>
    </xf>
    <xf numFmtId="0" fontId="34" fillId="2" borderId="10" xfId="0" applyFont="1" applyFill="1" applyBorder="1" applyAlignment="1">
      <alignment horizontal="center" vertical="center" wrapText="1"/>
    </xf>
    <xf numFmtId="0" fontId="34" fillId="2" borderId="6" xfId="0" applyFont="1" applyFill="1" applyBorder="1" applyAlignment="1">
      <alignment horizontal="center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center" vertical="center"/>
    </xf>
    <xf numFmtId="49" fontId="0" fillId="0" borderId="0" xfId="0" applyNumberFormat="1"/>
    <xf numFmtId="0" fontId="22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2" fillId="3" borderId="13" xfId="0" applyFont="1" applyFill="1" applyBorder="1" applyAlignment="1">
      <alignment horizontal="center"/>
    </xf>
    <xf numFmtId="0" fontId="22" fillId="3" borderId="14" xfId="0" applyFont="1" applyFill="1" applyBorder="1" applyAlignment="1">
      <alignment horizontal="center"/>
    </xf>
    <xf numFmtId="0" fontId="22" fillId="3" borderId="15" xfId="0" applyFont="1" applyFill="1" applyBorder="1" applyAlignment="1">
      <alignment horizontal="center"/>
    </xf>
    <xf numFmtId="0" fontId="21" fillId="0" borderId="17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1" fillId="0" borderId="19" xfId="0" applyFont="1" applyBorder="1" applyAlignment="1">
      <alignment horizontal="left" vertical="center"/>
    </xf>
    <xf numFmtId="0" fontId="21" fillId="0" borderId="20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1" fillId="0" borderId="21" xfId="0" applyFont="1" applyBorder="1" applyAlignment="1">
      <alignment horizontal="left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21" xfId="0" applyFont="1" applyBorder="1" applyAlignment="1">
      <alignment horizontal="left" vertical="center"/>
    </xf>
    <xf numFmtId="0" fontId="21" fillId="0" borderId="48" xfId="0" applyFont="1" applyBorder="1" applyAlignment="1">
      <alignment horizontal="left" vertical="center"/>
    </xf>
    <xf numFmtId="0" fontId="21" fillId="0" borderId="22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32" fillId="0" borderId="14" xfId="0" applyFont="1" applyBorder="1" applyAlignment="1">
      <alignment horizontal="center" vertical="top" wrapText="1"/>
    </xf>
    <xf numFmtId="0" fontId="32" fillId="0" borderId="15" xfId="0" applyFont="1" applyBorder="1" applyAlignment="1">
      <alignment horizontal="center" vertical="top" wrapText="1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5" fillId="0" borderId="6" xfId="0" applyFont="1" applyBorder="1" applyAlignment="1">
      <alignment horizontal="center" vertical="center"/>
    </xf>
    <xf numFmtId="17" fontId="5" fillId="0" borderId="6" xfId="0" applyNumberFormat="1" applyFont="1" applyBorder="1" applyAlignment="1">
      <alignment horizontal="center" vertical="center"/>
    </xf>
    <xf numFmtId="0" fontId="33" fillId="0" borderId="7" xfId="0" applyFont="1" applyBorder="1" applyAlignment="1">
      <alignment horizontal="center"/>
    </xf>
    <xf numFmtId="0" fontId="33" fillId="0" borderId="8" xfId="0" applyFont="1" applyBorder="1" applyAlignment="1">
      <alignment horizontal="center"/>
    </xf>
    <xf numFmtId="0" fontId="16" fillId="0" borderId="9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17" fillId="4" borderId="10" xfId="0" applyFont="1" applyFill="1" applyBorder="1" applyAlignment="1">
      <alignment horizontal="center" wrapText="1"/>
    </xf>
    <xf numFmtId="0" fontId="17" fillId="4" borderId="11" xfId="0" applyFont="1" applyFill="1" applyBorder="1" applyAlignment="1">
      <alignment horizontal="center" wrapText="1"/>
    </xf>
    <xf numFmtId="0" fontId="17" fillId="0" borderId="10" xfId="0" applyFont="1" applyBorder="1" applyAlignment="1">
      <alignment horizontal="center" wrapText="1"/>
    </xf>
    <xf numFmtId="0" fontId="17" fillId="0" borderId="11" xfId="0" applyFont="1" applyBorder="1" applyAlignment="1">
      <alignment horizontal="center" wrapText="1"/>
    </xf>
    <xf numFmtId="0" fontId="16" fillId="4" borderId="10" xfId="0" applyFont="1" applyFill="1" applyBorder="1" applyAlignment="1">
      <alignment horizontal="center" wrapText="1"/>
    </xf>
    <xf numFmtId="0" fontId="16" fillId="4" borderId="11" xfId="0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22" fillId="0" borderId="29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22" fillId="0" borderId="30" xfId="0" applyFont="1" applyBorder="1" applyAlignment="1">
      <alignment horizontal="center" vertical="center"/>
    </xf>
    <xf numFmtId="0" fontId="22" fillId="0" borderId="18" xfId="0" applyFont="1" applyBorder="1" applyAlignment="1">
      <alignment horizontal="left" vertical="top" wrapText="1"/>
    </xf>
    <xf numFmtId="0" fontId="22" fillId="0" borderId="19" xfId="0" applyFont="1" applyBorder="1" applyAlignment="1">
      <alignment horizontal="left" vertical="top" wrapText="1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1" fillId="0" borderId="4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5" fillId="0" borderId="3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wrapText="1"/>
    </xf>
    <xf numFmtId="0" fontId="17" fillId="4" borderId="38" xfId="0" applyFont="1" applyFill="1" applyBorder="1" applyAlignment="1">
      <alignment horizontal="center" wrapText="1"/>
    </xf>
    <xf numFmtId="0" fontId="16" fillId="4" borderId="38" xfId="0" applyFont="1" applyFill="1" applyBorder="1" applyAlignment="1">
      <alignment horizontal="center" wrapText="1"/>
    </xf>
    <xf numFmtId="0" fontId="21" fillId="0" borderId="6" xfId="0" applyFont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21" fillId="0" borderId="16" xfId="0" applyFont="1" applyBorder="1" applyAlignment="1">
      <alignment horizontal="left"/>
    </xf>
    <xf numFmtId="0" fontId="21" fillId="0" borderId="8" xfId="0" applyFont="1" applyBorder="1" applyAlignment="1">
      <alignment horizontal="left"/>
    </xf>
    <xf numFmtId="0" fontId="22" fillId="0" borderId="7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1" fillId="0" borderId="4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5" xfId="0" applyFont="1" applyBorder="1" applyAlignment="1">
      <alignment horizontal="left"/>
    </xf>
    <xf numFmtId="0" fontId="13" fillId="0" borderId="6" xfId="0" applyFont="1" applyBorder="1" applyAlignment="1">
      <alignment horizontal="center" vertical="center"/>
    </xf>
    <xf numFmtId="0" fontId="21" fillId="0" borderId="33" xfId="0" applyFont="1" applyBorder="1" applyAlignment="1">
      <alignment horizontal="left"/>
    </xf>
    <xf numFmtId="0" fontId="21" fillId="0" borderId="35" xfId="0" applyFont="1" applyBorder="1" applyAlignment="1">
      <alignment horizontal="left"/>
    </xf>
    <xf numFmtId="0" fontId="21" fillId="0" borderId="36" xfId="0" applyFont="1" applyBorder="1" applyAlignment="1">
      <alignment horizontal="left"/>
    </xf>
    <xf numFmtId="0" fontId="21" fillId="0" borderId="28" xfId="0" applyFont="1" applyBorder="1" applyAlignment="1">
      <alignment horizontal="left"/>
    </xf>
    <xf numFmtId="0" fontId="21" fillId="0" borderId="7" xfId="0" applyFont="1" applyBorder="1" applyAlignment="1">
      <alignment horizontal="center"/>
    </xf>
    <xf numFmtId="0" fontId="21" fillId="0" borderId="34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1" fillId="0" borderId="37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28" xfId="0" applyFont="1" applyBorder="1" applyAlignment="1">
      <alignment horizontal="center"/>
    </xf>
    <xf numFmtId="0" fontId="20" fillId="0" borderId="6" xfId="0" applyFont="1" applyBorder="1" applyAlignment="1">
      <alignment horizontal="left"/>
    </xf>
    <xf numFmtId="14" fontId="22" fillId="0" borderId="6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21" fillId="0" borderId="33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13" fillId="0" borderId="6" xfId="0" applyFont="1" applyBorder="1" applyAlignment="1">
      <alignment horizontal="left" vertical="center"/>
    </xf>
    <xf numFmtId="0" fontId="22" fillId="0" borderId="24" xfId="0" applyFont="1" applyBorder="1" applyAlignment="1">
      <alignment horizontal="center"/>
    </xf>
    <xf numFmtId="0" fontId="22" fillId="0" borderId="45" xfId="0" applyFont="1" applyBorder="1" applyAlignment="1">
      <alignment horizontal="center"/>
    </xf>
    <xf numFmtId="0" fontId="22" fillId="0" borderId="2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21" fillId="0" borderId="47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/>
        <i/>
        <strike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66676</xdr:colOff>
      <xdr:row>0</xdr:row>
      <xdr:rowOff>95250</xdr:rowOff>
    </xdr:from>
    <xdr:to>
      <xdr:col>1</xdr:col>
      <xdr:colOff>762000</xdr:colOff>
      <xdr:row>4</xdr:row>
      <xdr:rowOff>114300</xdr:rowOff>
    </xdr:to>
    <xdr:pic>
      <xdr:nvPicPr>
        <xdr:cNvPr id="2" name="Imagem 2" descr="logo_LAC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9076" y="95250"/>
          <a:ext cx="695324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28575</xdr:colOff>
      <xdr:row>22</xdr:row>
      <xdr:rowOff>47625</xdr:rowOff>
    </xdr:from>
    <xdr:to>
      <xdr:col>2</xdr:col>
      <xdr:colOff>704850</xdr:colOff>
      <xdr:row>28</xdr:row>
      <xdr:rowOff>28575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80975" y="4448175"/>
          <a:ext cx="1476375" cy="1123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</xdr:colOff>
      <xdr:row>0</xdr:row>
      <xdr:rowOff>74084</xdr:rowOff>
    </xdr:from>
    <xdr:to>
      <xdr:col>2</xdr:col>
      <xdr:colOff>201083</xdr:colOff>
      <xdr:row>4</xdr:row>
      <xdr:rowOff>137584</xdr:rowOff>
    </xdr:to>
    <xdr:pic>
      <xdr:nvPicPr>
        <xdr:cNvPr id="3" name="Imagem 2" descr="logo_LAC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2250" y="74084"/>
          <a:ext cx="793750" cy="82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74082</xdr:colOff>
      <xdr:row>33</xdr:row>
      <xdr:rowOff>55563</xdr:rowOff>
    </xdr:from>
    <xdr:to>
      <xdr:col>2</xdr:col>
      <xdr:colOff>169332</xdr:colOff>
      <xdr:row>37</xdr:row>
      <xdr:rowOff>126999</xdr:rowOff>
    </xdr:to>
    <xdr:pic>
      <xdr:nvPicPr>
        <xdr:cNvPr id="4" name="Imagem 3" descr="logo_LAC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4582" y="7474480"/>
          <a:ext cx="719667" cy="8440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showGridLines="0" tabSelected="1" zoomScaleNormal="100" workbookViewId="0">
      <selection activeCell="H10" sqref="H10"/>
    </sheetView>
  </sheetViews>
  <sheetFormatPr defaultColWidth="9.08984375" defaultRowHeight="14.5" x14ac:dyDescent="0.35"/>
  <cols>
    <col min="1" max="1" width="2.36328125" customWidth="1"/>
    <col min="2" max="2" width="12" customWidth="1"/>
    <col min="3" max="5" width="10.90625" customWidth="1"/>
    <col min="6" max="6" width="11.6328125" customWidth="1"/>
    <col min="7" max="7" width="12" customWidth="1"/>
    <col min="8" max="12" width="11.6328125" customWidth="1"/>
    <col min="13" max="13" width="11.453125" customWidth="1"/>
  </cols>
  <sheetData>
    <row r="1" spans="1:14" x14ac:dyDescent="0.35">
      <c r="B1" s="47"/>
      <c r="C1" s="88" t="s">
        <v>93</v>
      </c>
      <c r="D1" s="89"/>
      <c r="E1" s="89"/>
      <c r="F1" s="89"/>
      <c r="G1" s="89"/>
      <c r="H1" s="89"/>
      <c r="I1" s="89"/>
      <c r="J1" s="89"/>
      <c r="K1" s="89"/>
      <c r="L1" s="89"/>
      <c r="M1" s="90"/>
      <c r="N1" s="10"/>
    </row>
    <row r="2" spans="1:14" ht="15" customHeight="1" x14ac:dyDescent="0.35">
      <c r="A2" s="13"/>
      <c r="B2" s="48"/>
      <c r="C2" s="91" t="s">
        <v>57</v>
      </c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1:14" ht="15" customHeight="1" x14ac:dyDescent="0.35">
      <c r="A3" s="10"/>
      <c r="B3" s="49"/>
      <c r="C3" s="94" t="s">
        <v>59</v>
      </c>
      <c r="D3" s="95"/>
      <c r="E3" s="95"/>
      <c r="F3" s="95"/>
      <c r="G3" s="95"/>
      <c r="H3" s="95"/>
      <c r="I3" s="95"/>
      <c r="J3" s="95"/>
      <c r="K3" s="95"/>
      <c r="L3" s="95"/>
      <c r="M3" s="96"/>
      <c r="N3" s="10"/>
    </row>
    <row r="4" spans="1:14" ht="15" customHeight="1" thickBot="1" x14ac:dyDescent="0.4">
      <c r="A4" s="10"/>
      <c r="B4" s="49"/>
      <c r="C4" s="97" t="s">
        <v>55</v>
      </c>
      <c r="D4" s="98"/>
      <c r="E4" s="98"/>
      <c r="F4" s="98"/>
      <c r="G4" s="98"/>
      <c r="H4" s="98"/>
      <c r="I4" s="98"/>
      <c r="J4" s="98"/>
      <c r="K4" s="98"/>
      <c r="L4" s="98"/>
      <c r="M4" s="99"/>
      <c r="N4" s="26"/>
    </row>
    <row r="5" spans="1:14" ht="15" customHeight="1" thickBot="1" x14ac:dyDescent="0.4">
      <c r="B5" s="50"/>
      <c r="C5" s="100" t="s">
        <v>92</v>
      </c>
      <c r="D5" s="100"/>
      <c r="E5" s="100"/>
      <c r="F5" s="100"/>
      <c r="G5" s="100"/>
      <c r="H5" s="100"/>
      <c r="I5" s="100"/>
      <c r="J5" s="100"/>
      <c r="K5" s="100"/>
      <c r="L5" s="100"/>
      <c r="M5" s="101"/>
      <c r="N5" s="36"/>
    </row>
    <row r="6" spans="1:14" ht="15" thickBot="1" x14ac:dyDescent="0.4">
      <c r="B6" s="102" t="s">
        <v>74</v>
      </c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2"/>
    </row>
    <row r="7" spans="1:14" ht="15" customHeight="1" thickBot="1" x14ac:dyDescent="0.4">
      <c r="A7" s="9"/>
    </row>
    <row r="8" spans="1:14" ht="15" thickBot="1" x14ac:dyDescent="0.4">
      <c r="B8" s="60" t="s">
        <v>75</v>
      </c>
      <c r="C8" s="85" t="s">
        <v>96</v>
      </c>
      <c r="D8" s="86"/>
      <c r="E8" s="86"/>
      <c r="F8" s="86"/>
      <c r="G8" s="86"/>
      <c r="H8" s="86"/>
      <c r="I8" s="86"/>
      <c r="J8" s="86"/>
      <c r="K8" s="86"/>
      <c r="L8" s="86"/>
      <c r="M8" s="87"/>
    </row>
    <row r="9" spans="1:14" s="81" customFormat="1" ht="16.5" customHeight="1" x14ac:dyDescent="0.35">
      <c r="A9" s="79"/>
      <c r="B9" s="80">
        <v>1</v>
      </c>
      <c r="C9" s="80">
        <v>2</v>
      </c>
      <c r="D9" s="80">
        <v>3</v>
      </c>
      <c r="E9" s="80">
        <v>4</v>
      </c>
      <c r="F9" s="80">
        <v>5</v>
      </c>
      <c r="G9" s="80">
        <v>6</v>
      </c>
      <c r="H9" s="80">
        <v>7</v>
      </c>
      <c r="I9" s="80">
        <v>8</v>
      </c>
      <c r="J9" s="80">
        <v>9</v>
      </c>
      <c r="K9" s="80">
        <v>10</v>
      </c>
      <c r="L9" s="80">
        <v>11</v>
      </c>
      <c r="M9" s="80">
        <v>12</v>
      </c>
    </row>
    <row r="10" spans="1:14" ht="18" customHeight="1" x14ac:dyDescent="0.35">
      <c r="A10" s="2" t="s">
        <v>0</v>
      </c>
      <c r="B10" s="19" t="s">
        <v>97</v>
      </c>
      <c r="C10" s="19">
        <v>422386273</v>
      </c>
      <c r="D10" s="74">
        <v>422386293</v>
      </c>
      <c r="E10" s="78">
        <v>422387159</v>
      </c>
      <c r="F10" s="78">
        <v>422386742</v>
      </c>
      <c r="G10" s="21" t="s">
        <v>100</v>
      </c>
      <c r="H10" s="21" t="s">
        <v>100</v>
      </c>
      <c r="I10" s="21" t="s">
        <v>100</v>
      </c>
      <c r="J10" s="21" t="s">
        <v>100</v>
      </c>
      <c r="K10" s="21" t="s">
        <v>100</v>
      </c>
      <c r="L10" s="21" t="s">
        <v>100</v>
      </c>
      <c r="M10" s="75">
        <v>422387224</v>
      </c>
    </row>
    <row r="11" spans="1:14" ht="18" customHeight="1" x14ac:dyDescent="0.35">
      <c r="A11" s="2" t="s">
        <v>1</v>
      </c>
      <c r="B11" s="19" t="s">
        <v>98</v>
      </c>
      <c r="C11" s="76">
        <v>422387254</v>
      </c>
      <c r="D11" s="74">
        <v>422386816</v>
      </c>
      <c r="E11" s="78">
        <v>422387129</v>
      </c>
      <c r="F11" s="78">
        <v>422385147</v>
      </c>
      <c r="G11" s="21" t="s">
        <v>100</v>
      </c>
      <c r="H11" s="21" t="s">
        <v>100</v>
      </c>
      <c r="I11" s="21" t="s">
        <v>100</v>
      </c>
      <c r="J11" s="21" t="s">
        <v>100</v>
      </c>
      <c r="K11" s="21" t="s">
        <v>100</v>
      </c>
      <c r="L11" s="21" t="s">
        <v>100</v>
      </c>
      <c r="M11" s="21" t="s">
        <v>101</v>
      </c>
    </row>
    <row r="12" spans="1:14" ht="18" customHeight="1" x14ac:dyDescent="0.35">
      <c r="A12" s="2" t="s">
        <v>2</v>
      </c>
      <c r="B12" s="19" t="s">
        <v>99</v>
      </c>
      <c r="C12" s="76">
        <v>422386806</v>
      </c>
      <c r="D12" s="74">
        <v>422386798</v>
      </c>
      <c r="E12" s="78">
        <v>422387065</v>
      </c>
      <c r="F12" s="78" t="s">
        <v>100</v>
      </c>
      <c r="G12" s="21" t="s">
        <v>100</v>
      </c>
      <c r="H12" s="21" t="s">
        <v>100</v>
      </c>
      <c r="I12" s="21" t="s">
        <v>100</v>
      </c>
      <c r="J12" s="21" t="s">
        <v>100</v>
      </c>
      <c r="K12" s="21" t="s">
        <v>100</v>
      </c>
      <c r="L12" s="21" t="s">
        <v>100</v>
      </c>
      <c r="M12" s="21" t="s">
        <v>100</v>
      </c>
    </row>
    <row r="13" spans="1:14" ht="18" customHeight="1" x14ac:dyDescent="0.35">
      <c r="A13" s="2" t="s">
        <v>3</v>
      </c>
      <c r="B13" s="19">
        <v>422386625</v>
      </c>
      <c r="C13" s="76">
        <v>422386980</v>
      </c>
      <c r="D13" s="74">
        <v>422387130</v>
      </c>
      <c r="E13" s="78">
        <v>422387062</v>
      </c>
      <c r="F13" s="78" t="s">
        <v>100</v>
      </c>
      <c r="G13" s="21" t="s">
        <v>100</v>
      </c>
      <c r="H13" s="21" t="s">
        <v>100</v>
      </c>
      <c r="I13" s="21" t="s">
        <v>100</v>
      </c>
      <c r="J13" s="21" t="s">
        <v>100</v>
      </c>
      <c r="K13" s="21" t="s">
        <v>100</v>
      </c>
      <c r="L13" s="21" t="s">
        <v>100</v>
      </c>
      <c r="M13" s="21" t="s">
        <v>100</v>
      </c>
    </row>
    <row r="14" spans="1:14" ht="18" customHeight="1" x14ac:dyDescent="0.35">
      <c r="A14" s="2" t="s">
        <v>4</v>
      </c>
      <c r="B14" s="19">
        <v>422386851</v>
      </c>
      <c r="C14" s="76">
        <v>422385450</v>
      </c>
      <c r="D14" s="78">
        <v>422386593</v>
      </c>
      <c r="E14" s="78">
        <v>422387059</v>
      </c>
      <c r="F14" s="78" t="s">
        <v>100</v>
      </c>
      <c r="G14" s="21" t="s">
        <v>100</v>
      </c>
      <c r="H14" s="21" t="s">
        <v>100</v>
      </c>
      <c r="I14" s="21" t="s">
        <v>100</v>
      </c>
      <c r="J14" s="21" t="s">
        <v>100</v>
      </c>
      <c r="K14" s="21" t="s">
        <v>100</v>
      </c>
      <c r="L14" s="21" t="s">
        <v>100</v>
      </c>
      <c r="M14" s="21" t="s">
        <v>100</v>
      </c>
    </row>
    <row r="15" spans="1:14" ht="18" customHeight="1" x14ac:dyDescent="0.35">
      <c r="A15" s="2" t="s">
        <v>5</v>
      </c>
      <c r="B15" s="19">
        <v>422386866</v>
      </c>
      <c r="C15" s="76">
        <v>422386322</v>
      </c>
      <c r="D15" s="78">
        <v>422386852</v>
      </c>
      <c r="E15" s="78">
        <v>422387047</v>
      </c>
      <c r="F15" s="78" t="s">
        <v>100</v>
      </c>
      <c r="G15" s="21" t="s">
        <v>100</v>
      </c>
      <c r="H15" s="21" t="s">
        <v>100</v>
      </c>
      <c r="I15" s="21" t="s">
        <v>100</v>
      </c>
      <c r="J15" s="21" t="s">
        <v>100</v>
      </c>
      <c r="K15" s="21" t="s">
        <v>100</v>
      </c>
      <c r="L15" s="21" t="s">
        <v>100</v>
      </c>
      <c r="M15" s="21" t="s">
        <v>100</v>
      </c>
    </row>
    <row r="16" spans="1:14" ht="18" customHeight="1" x14ac:dyDescent="0.35">
      <c r="A16" s="2" t="s">
        <v>6</v>
      </c>
      <c r="B16" s="19">
        <v>422386883</v>
      </c>
      <c r="C16" s="77">
        <v>422386324</v>
      </c>
      <c r="D16" s="78">
        <v>422386928</v>
      </c>
      <c r="E16" s="78">
        <v>422387071</v>
      </c>
      <c r="F16" s="78" t="s">
        <v>100</v>
      </c>
      <c r="G16" s="22" t="s">
        <v>109</v>
      </c>
      <c r="H16" s="21" t="s">
        <v>100</v>
      </c>
      <c r="I16" s="21" t="s">
        <v>100</v>
      </c>
      <c r="J16" s="21" t="s">
        <v>100</v>
      </c>
      <c r="K16" s="21" t="s">
        <v>100</v>
      </c>
      <c r="L16" s="21" t="s">
        <v>100</v>
      </c>
      <c r="M16" s="21" t="s">
        <v>100</v>
      </c>
    </row>
    <row r="17" spans="1:21" ht="18" customHeight="1" x14ac:dyDescent="0.35">
      <c r="A17" s="2" t="s">
        <v>7</v>
      </c>
      <c r="B17" s="19">
        <v>422386268</v>
      </c>
      <c r="C17" s="75">
        <v>422386282</v>
      </c>
      <c r="D17" s="78">
        <v>422387004</v>
      </c>
      <c r="E17" s="78">
        <v>422387075</v>
      </c>
      <c r="F17" s="78" t="s">
        <v>100</v>
      </c>
      <c r="G17" s="20" t="s">
        <v>101</v>
      </c>
      <c r="H17" s="21" t="s">
        <v>100</v>
      </c>
      <c r="I17" s="21" t="s">
        <v>100</v>
      </c>
      <c r="J17" s="21" t="s">
        <v>100</v>
      </c>
      <c r="K17" s="21" t="s">
        <v>100</v>
      </c>
      <c r="L17" s="21" t="s">
        <v>100</v>
      </c>
      <c r="M17" s="21" t="s">
        <v>100</v>
      </c>
    </row>
    <row r="18" spans="1:21" ht="10.5" customHeight="1" x14ac:dyDescent="0.35">
      <c r="B18" s="3"/>
      <c r="D18" s="4"/>
      <c r="J18" s="29"/>
      <c r="K18" s="30"/>
    </row>
    <row r="19" spans="1:21" ht="9" customHeight="1" x14ac:dyDescent="0.35">
      <c r="I19" s="31"/>
      <c r="J19" s="32"/>
    </row>
    <row r="20" spans="1:21" ht="15" customHeight="1" x14ac:dyDescent="0.35">
      <c r="B20" s="56" t="s">
        <v>85</v>
      </c>
      <c r="C20" s="71" t="s">
        <v>86</v>
      </c>
      <c r="E20" s="108" t="s">
        <v>42</v>
      </c>
      <c r="F20" s="109"/>
      <c r="H20" s="83" t="s">
        <v>8</v>
      </c>
      <c r="I20" s="83"/>
      <c r="J20" s="83"/>
      <c r="L20" s="70" t="s">
        <v>11</v>
      </c>
      <c r="M20" s="70" t="s">
        <v>12</v>
      </c>
      <c r="U20" s="7"/>
    </row>
    <row r="21" spans="1:21" ht="15" customHeight="1" x14ac:dyDescent="0.35">
      <c r="B21" s="59" t="s">
        <v>102</v>
      </c>
      <c r="C21" s="59" t="s">
        <v>107</v>
      </c>
      <c r="E21" s="61" t="s">
        <v>82</v>
      </c>
      <c r="F21" s="62"/>
      <c r="H21" s="24" t="s">
        <v>9</v>
      </c>
      <c r="I21" s="106" t="s">
        <v>105</v>
      </c>
      <c r="J21" s="106"/>
      <c r="L21" s="57" t="s">
        <v>13</v>
      </c>
      <c r="M21" s="69" t="s">
        <v>108</v>
      </c>
      <c r="U21" s="17"/>
    </row>
    <row r="22" spans="1:21" x14ac:dyDescent="0.35">
      <c r="B22" s="59" t="s">
        <v>103</v>
      </c>
      <c r="C22" s="59">
        <v>12</v>
      </c>
      <c r="E22" s="63" t="s">
        <v>83</v>
      </c>
      <c r="F22" s="62"/>
      <c r="H22" s="24" t="s">
        <v>10</v>
      </c>
      <c r="I22" s="107">
        <v>45748</v>
      </c>
      <c r="J22" s="106"/>
      <c r="L22" s="57" t="s">
        <v>14</v>
      </c>
      <c r="M22" s="73"/>
      <c r="U22" s="17"/>
    </row>
    <row r="23" spans="1:21" ht="15.5" x14ac:dyDescent="0.35">
      <c r="B23" s="59"/>
      <c r="C23" s="59"/>
      <c r="E23" s="64" t="s">
        <v>76</v>
      </c>
      <c r="F23" s="62"/>
      <c r="K23" s="58"/>
      <c r="L23" s="105"/>
      <c r="M23" s="105"/>
    </row>
    <row r="24" spans="1:21" x14ac:dyDescent="0.35">
      <c r="B24" s="59"/>
      <c r="C24" s="59"/>
      <c r="E24" s="64" t="s">
        <v>77</v>
      </c>
      <c r="F24" s="62"/>
      <c r="H24" s="83" t="s">
        <v>84</v>
      </c>
      <c r="I24" s="83"/>
      <c r="J24" s="83"/>
      <c r="K24" s="15"/>
      <c r="L24" s="15"/>
      <c r="M24" s="15"/>
    </row>
    <row r="25" spans="1:21" x14ac:dyDescent="0.35">
      <c r="B25" s="59"/>
      <c r="C25" s="59"/>
      <c r="E25" s="65" t="s">
        <v>78</v>
      </c>
      <c r="F25" s="62"/>
      <c r="H25" s="24" t="s">
        <v>9</v>
      </c>
      <c r="I25" s="84"/>
      <c r="J25" s="84"/>
      <c r="K25" s="18"/>
      <c r="L25" s="18"/>
      <c r="M25" s="18"/>
    </row>
    <row r="26" spans="1:21" ht="15.5" x14ac:dyDescent="0.35">
      <c r="B26" s="41"/>
      <c r="C26" s="41"/>
      <c r="E26" s="65" t="s">
        <v>79</v>
      </c>
      <c r="F26" s="66"/>
      <c r="G26" s="17"/>
      <c r="H26" s="24" t="s">
        <v>10</v>
      </c>
      <c r="I26" s="84"/>
      <c r="J26" s="84"/>
      <c r="K26" s="18"/>
      <c r="L26" s="15"/>
      <c r="M26" s="15"/>
    </row>
    <row r="27" spans="1:21" ht="15.5" x14ac:dyDescent="0.35">
      <c r="B27" s="41"/>
      <c r="C27" s="41"/>
      <c r="E27" s="64" t="s">
        <v>80</v>
      </c>
      <c r="F27" s="66"/>
      <c r="G27" s="1"/>
      <c r="H27" s="1"/>
      <c r="J27" s="14"/>
      <c r="K27" s="14"/>
    </row>
    <row r="28" spans="1:21" x14ac:dyDescent="0.35">
      <c r="B28" s="41"/>
      <c r="C28" s="41"/>
      <c r="E28" s="67" t="s">
        <v>81</v>
      </c>
      <c r="F28" s="68"/>
      <c r="H28" s="82" t="s">
        <v>94</v>
      </c>
      <c r="I28" s="82"/>
      <c r="J28" s="82"/>
    </row>
    <row r="29" spans="1:21" x14ac:dyDescent="0.35">
      <c r="H29" s="72" t="s">
        <v>95</v>
      </c>
      <c r="I29" s="82" t="s">
        <v>106</v>
      </c>
      <c r="J29" s="82"/>
    </row>
    <row r="30" spans="1:21" ht="15.5" x14ac:dyDescent="0.35">
      <c r="B30" s="16" t="s">
        <v>73</v>
      </c>
    </row>
    <row r="31" spans="1:21" x14ac:dyDescent="0.35">
      <c r="B31" t="s">
        <v>87</v>
      </c>
      <c r="C31" t="s">
        <v>104</v>
      </c>
    </row>
    <row r="32" spans="1:21" x14ac:dyDescent="0.35">
      <c r="B32" t="s">
        <v>87</v>
      </c>
    </row>
  </sheetData>
  <sortState xmlns:xlrd2="http://schemas.microsoft.com/office/spreadsheetml/2017/richdata2" ref="B7:M14">
    <sortCondition ref="B14"/>
  </sortState>
  <mergeCells count="17">
    <mergeCell ref="L23:M23"/>
    <mergeCell ref="I21:J21"/>
    <mergeCell ref="I22:J22"/>
    <mergeCell ref="H20:J20"/>
    <mergeCell ref="E20:F20"/>
    <mergeCell ref="C8:M8"/>
    <mergeCell ref="C1:M1"/>
    <mergeCell ref="C2:M2"/>
    <mergeCell ref="C3:M3"/>
    <mergeCell ref="C4:M4"/>
    <mergeCell ref="C5:M5"/>
    <mergeCell ref="B6:M6"/>
    <mergeCell ref="H28:J28"/>
    <mergeCell ref="I29:J29"/>
    <mergeCell ref="H24:J24"/>
    <mergeCell ref="I25:J25"/>
    <mergeCell ref="I26:J26"/>
  </mergeCells>
  <conditionalFormatting sqref="B10:M17">
    <cfRule type="cellIs" dxfId="1" priority="1" operator="notBetween">
      <formula>111111111</formula>
      <formula>999999999</formula>
    </cfRule>
    <cfRule type="duplicateValues" dxfId="0" priority="2"/>
  </conditionalFormatting>
  <printOptions horizontalCentered="1" verticalCentered="1"/>
  <pageMargins left="0.31496062992125984" right="0.31496062992125984" top="0.78740157480314965" bottom="0.78740157480314965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1"/>
  <sheetViews>
    <sheetView view="pageLayout" zoomScale="90" zoomScaleNormal="100" zoomScalePageLayoutView="90" workbookViewId="0">
      <selection activeCell="B40" sqref="B40"/>
    </sheetView>
  </sheetViews>
  <sheetFormatPr defaultRowHeight="14.5" x14ac:dyDescent="0.35"/>
  <cols>
    <col min="1" max="1" width="2.6328125" customWidth="1"/>
    <col min="2" max="2" width="8.90625" customWidth="1"/>
    <col min="3" max="3" width="3.6328125" customWidth="1"/>
    <col min="4" max="4" width="8.90625" customWidth="1"/>
    <col min="5" max="5" width="3.6328125" customWidth="1"/>
    <col min="6" max="6" width="8.90625" customWidth="1"/>
    <col min="7" max="7" width="3.6328125" customWidth="1"/>
    <col min="8" max="8" width="8.90625" customWidth="1"/>
    <col min="9" max="9" width="3.6328125" customWidth="1"/>
    <col min="10" max="10" width="8.90625" customWidth="1"/>
    <col min="11" max="11" width="3.6328125" customWidth="1"/>
    <col min="12" max="12" width="8.90625" customWidth="1"/>
    <col min="13" max="13" width="3.6328125" customWidth="1"/>
    <col min="14" max="14" width="8.90625" customWidth="1"/>
    <col min="15" max="15" width="3.6328125" customWidth="1"/>
    <col min="16" max="16" width="8.90625" customWidth="1"/>
    <col min="17" max="17" width="3.6328125" customWidth="1"/>
    <col min="18" max="18" width="8.90625" customWidth="1"/>
    <col min="19" max="19" width="3.6328125" customWidth="1"/>
    <col min="20" max="20" width="8.90625" customWidth="1"/>
    <col min="21" max="21" width="3.6328125" customWidth="1"/>
    <col min="22" max="22" width="8.90625" customWidth="1"/>
    <col min="23" max="23" width="3.6328125" customWidth="1"/>
    <col min="24" max="24" width="8.90625" customWidth="1"/>
    <col min="25" max="25" width="3.6328125" customWidth="1"/>
  </cols>
  <sheetData>
    <row r="1" spans="1:25" x14ac:dyDescent="0.35">
      <c r="B1" s="45"/>
      <c r="C1" s="43"/>
      <c r="D1" s="89" t="s">
        <v>56</v>
      </c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90"/>
    </row>
    <row r="2" spans="1:25" ht="15" customHeight="1" x14ac:dyDescent="0.35">
      <c r="A2" s="13"/>
      <c r="B2" s="34"/>
      <c r="C2" s="42"/>
      <c r="D2" s="92" t="s">
        <v>57</v>
      </c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3"/>
    </row>
    <row r="3" spans="1:25" ht="15" customHeight="1" x14ac:dyDescent="0.35">
      <c r="A3" s="10"/>
      <c r="B3" s="35"/>
      <c r="C3" s="44"/>
      <c r="D3" s="95" t="s">
        <v>54</v>
      </c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6"/>
    </row>
    <row r="4" spans="1:25" ht="15" customHeight="1" thickBot="1" x14ac:dyDescent="0.4">
      <c r="A4" s="10"/>
      <c r="B4" s="35"/>
      <c r="C4" s="44"/>
      <c r="D4" s="95" t="s">
        <v>55</v>
      </c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6"/>
    </row>
    <row r="5" spans="1:25" ht="15" thickBot="1" x14ac:dyDescent="0.4">
      <c r="A5" s="12"/>
      <c r="B5" s="35"/>
      <c r="C5" s="44"/>
      <c r="D5" s="125" t="s">
        <v>88</v>
      </c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6"/>
    </row>
    <row r="6" spans="1:25" ht="15" thickBot="1" x14ac:dyDescent="0.4">
      <c r="A6" s="9"/>
      <c r="B6" s="102" t="s">
        <v>89</v>
      </c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4"/>
    </row>
    <row r="7" spans="1:25" ht="8.25" customHeight="1" x14ac:dyDescent="0.35">
      <c r="A7" s="9"/>
      <c r="B7" s="9"/>
      <c r="C7" s="9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35">
      <c r="A8" s="9"/>
      <c r="B8" s="140" t="s">
        <v>60</v>
      </c>
      <c r="C8" s="141"/>
      <c r="D8" s="141"/>
      <c r="E8" s="141"/>
      <c r="F8" s="141"/>
      <c r="G8" s="141"/>
      <c r="H8" s="141"/>
      <c r="I8" s="142"/>
      <c r="J8" s="55" t="s">
        <v>17</v>
      </c>
      <c r="K8" s="160">
        <f>'PLANILHA EXTRAÇÃO'!J8</f>
        <v>0</v>
      </c>
      <c r="L8" s="160"/>
      <c r="M8" s="159" t="s">
        <v>72</v>
      </c>
      <c r="N8" s="159"/>
      <c r="O8" s="159"/>
      <c r="P8" s="159"/>
      <c r="Q8" s="159"/>
      <c r="R8" s="159"/>
      <c r="S8" s="159"/>
      <c r="T8" s="159"/>
      <c r="U8" s="159"/>
      <c r="V8" s="159" t="s">
        <v>61</v>
      </c>
      <c r="W8" s="159"/>
      <c r="X8" s="127">
        <f>'PLANILHA EXTRAÇÃO'!M8</f>
        <v>0</v>
      </c>
      <c r="Y8" s="127"/>
    </row>
    <row r="9" spans="1:25" ht="18.75" customHeight="1" x14ac:dyDescent="0.35">
      <c r="A9" s="9"/>
      <c r="B9" s="139" t="s">
        <v>58</v>
      </c>
      <c r="C9" s="140"/>
      <c r="D9" s="143" t="str">
        <f>'PLANILHA EXTRAÇÃO'!C8</f>
        <v>EXT 49 EXTRACTA 18/07/2025</v>
      </c>
      <c r="E9" s="144"/>
      <c r="F9" s="144"/>
      <c r="G9" s="144"/>
      <c r="H9" s="144"/>
      <c r="I9" s="144"/>
      <c r="J9" s="144"/>
      <c r="K9" s="144"/>
      <c r="L9" s="144"/>
      <c r="M9" s="140" t="s">
        <v>29</v>
      </c>
      <c r="N9" s="141"/>
      <c r="O9" s="141"/>
      <c r="P9" s="142"/>
      <c r="Q9" s="140" t="s">
        <v>28</v>
      </c>
      <c r="R9" s="141"/>
      <c r="S9" s="141"/>
      <c r="T9" s="141"/>
      <c r="U9" s="142"/>
      <c r="V9" s="145" t="s">
        <v>27</v>
      </c>
      <c r="W9" s="146"/>
      <c r="X9" s="146"/>
      <c r="Y9" s="147"/>
    </row>
    <row r="10" spans="1:25" ht="10.5" customHeight="1" thickBot="1" x14ac:dyDescent="0.4"/>
    <row r="11" spans="1:25" ht="15" thickBot="1" x14ac:dyDescent="0.4">
      <c r="A11" s="6"/>
      <c r="B11" s="37">
        <v>1</v>
      </c>
      <c r="C11" s="38" t="s">
        <v>16</v>
      </c>
      <c r="D11" s="39">
        <v>2</v>
      </c>
      <c r="E11" s="38" t="s">
        <v>16</v>
      </c>
      <c r="F11" s="39">
        <v>3</v>
      </c>
      <c r="G11" s="38" t="s">
        <v>16</v>
      </c>
      <c r="H11" s="39">
        <v>4</v>
      </c>
      <c r="I11" s="38" t="s">
        <v>16</v>
      </c>
      <c r="J11" s="39">
        <v>5</v>
      </c>
      <c r="K11" s="38" t="s">
        <v>16</v>
      </c>
      <c r="L11" s="39">
        <v>6</v>
      </c>
      <c r="M11" s="38" t="s">
        <v>16</v>
      </c>
      <c r="N11" s="39">
        <v>7</v>
      </c>
      <c r="O11" s="38" t="s">
        <v>16</v>
      </c>
      <c r="P11" s="39">
        <v>8</v>
      </c>
      <c r="Q11" s="38" t="s">
        <v>16</v>
      </c>
      <c r="R11" s="39">
        <v>9</v>
      </c>
      <c r="S11" s="38" t="s">
        <v>16</v>
      </c>
      <c r="T11" s="39">
        <v>10</v>
      </c>
      <c r="U11" s="38" t="s">
        <v>16</v>
      </c>
      <c r="V11" s="39">
        <v>11</v>
      </c>
      <c r="W11" s="38" t="s">
        <v>16</v>
      </c>
      <c r="X11" s="39">
        <v>12</v>
      </c>
      <c r="Y11" s="40" t="s">
        <v>16</v>
      </c>
    </row>
    <row r="12" spans="1:25" ht="21" customHeight="1" x14ac:dyDescent="0.35">
      <c r="A12" s="135" t="s">
        <v>0</v>
      </c>
      <c r="B12" s="136" t="str">
        <f>'PLANILHA EXTRAÇÃO'!B10</f>
        <v>422386149R</v>
      </c>
      <c r="C12" s="137"/>
      <c r="D12" s="136">
        <f>'PLANILHA EXTRAÇÃO'!C10</f>
        <v>422386273</v>
      </c>
      <c r="E12" s="137"/>
      <c r="F12" s="136">
        <f>'PLANILHA EXTRAÇÃO'!D10</f>
        <v>422386293</v>
      </c>
      <c r="G12" s="137"/>
      <c r="H12" s="136">
        <f>'PLANILHA EXTRAÇÃO'!E10</f>
        <v>422387159</v>
      </c>
      <c r="I12" s="137"/>
      <c r="J12" s="136">
        <f>'PLANILHA EXTRAÇÃO'!F10</f>
        <v>422386742</v>
      </c>
      <c r="K12" s="137"/>
      <c r="L12" s="136" t="str">
        <f>'PLANILHA EXTRAÇÃO'!G10</f>
        <v>X</v>
      </c>
      <c r="M12" s="137"/>
      <c r="N12" s="136" t="str">
        <f>'PLANILHA EXTRAÇÃO'!H10</f>
        <v>X</v>
      </c>
      <c r="O12" s="137"/>
      <c r="P12" s="136" t="str">
        <f>'PLANILHA EXTRAÇÃO'!I10</f>
        <v>X</v>
      </c>
      <c r="Q12" s="137"/>
      <c r="R12" s="136" t="str">
        <f>'PLANILHA EXTRAÇÃO'!J10</f>
        <v>X</v>
      </c>
      <c r="S12" s="137"/>
      <c r="T12" s="136" t="str">
        <f>'PLANILHA EXTRAÇÃO'!K10</f>
        <v>X</v>
      </c>
      <c r="U12" s="137"/>
      <c r="V12" s="136" t="str">
        <f>'PLANILHA EXTRAÇÃO'!L10</f>
        <v>X</v>
      </c>
      <c r="W12" s="137"/>
      <c r="X12" s="136">
        <f>'PLANILHA EXTRAÇÃO'!M10</f>
        <v>422387224</v>
      </c>
      <c r="Y12" s="138"/>
    </row>
    <row r="13" spans="1:25" ht="21" customHeight="1" x14ac:dyDescent="0.35">
      <c r="A13" s="135"/>
      <c r="B13" s="115"/>
      <c r="C13" s="113"/>
      <c r="D13" s="115"/>
      <c r="E13" s="113"/>
      <c r="F13" s="115"/>
      <c r="G13" s="113"/>
      <c r="H13" s="115"/>
      <c r="I13" s="113"/>
      <c r="J13" s="115"/>
      <c r="K13" s="113"/>
      <c r="L13" s="115"/>
      <c r="M13" s="113"/>
      <c r="N13" s="115"/>
      <c r="O13" s="113"/>
      <c r="P13" s="115"/>
      <c r="Q13" s="113"/>
      <c r="R13" s="115"/>
      <c r="S13" s="113"/>
      <c r="T13" s="115"/>
      <c r="U13" s="113"/>
      <c r="V13" s="115"/>
      <c r="W13" s="113"/>
      <c r="X13" s="115"/>
      <c r="Y13" s="117"/>
    </row>
    <row r="14" spans="1:25" ht="21" customHeight="1" x14ac:dyDescent="0.35">
      <c r="A14" s="135" t="s">
        <v>1</v>
      </c>
      <c r="B14" s="114" t="str">
        <f>'PLANILHA EXTRAÇÃO'!B11</f>
        <v>422386266R</v>
      </c>
      <c r="C14" s="112"/>
      <c r="D14" s="114">
        <f>'PLANILHA EXTRAÇÃO'!C11</f>
        <v>422387254</v>
      </c>
      <c r="E14" s="112"/>
      <c r="F14" s="114">
        <f>'PLANILHA EXTRAÇÃO'!D11</f>
        <v>422386816</v>
      </c>
      <c r="G14" s="112"/>
      <c r="H14" s="114">
        <f>'PLANILHA EXTRAÇÃO'!E11</f>
        <v>422387129</v>
      </c>
      <c r="I14" s="112"/>
      <c r="J14" s="114">
        <f>'PLANILHA EXTRAÇÃO'!F11</f>
        <v>422385147</v>
      </c>
      <c r="K14" s="112"/>
      <c r="L14" s="114" t="str">
        <f>'PLANILHA EXTRAÇÃO'!G11</f>
        <v>X</v>
      </c>
      <c r="M14" s="112"/>
      <c r="N14" s="114" t="str">
        <f>'PLANILHA EXTRAÇÃO'!H11</f>
        <v>X</v>
      </c>
      <c r="O14" s="112"/>
      <c r="P14" s="114" t="str">
        <f>'PLANILHA EXTRAÇÃO'!I11</f>
        <v>X</v>
      </c>
      <c r="Q14" s="112"/>
      <c r="R14" s="114" t="str">
        <f>'PLANILHA EXTRAÇÃO'!J11</f>
        <v>X</v>
      </c>
      <c r="S14" s="112"/>
      <c r="T14" s="114" t="str">
        <f>'PLANILHA EXTRAÇÃO'!K11</f>
        <v>X</v>
      </c>
      <c r="U14" s="112"/>
      <c r="V14" s="114" t="str">
        <f>'PLANILHA EXTRAÇÃO'!L11</f>
        <v>X</v>
      </c>
      <c r="W14" s="112"/>
      <c r="X14" s="114" t="str">
        <f>'PLANILHA EXTRAÇÃO'!M11</f>
        <v>CP</v>
      </c>
      <c r="Y14" s="116"/>
    </row>
    <row r="15" spans="1:25" ht="21" customHeight="1" x14ac:dyDescent="0.35">
      <c r="A15" s="135"/>
      <c r="B15" s="115"/>
      <c r="C15" s="113"/>
      <c r="D15" s="115"/>
      <c r="E15" s="113"/>
      <c r="F15" s="115"/>
      <c r="G15" s="113"/>
      <c r="H15" s="115"/>
      <c r="I15" s="113"/>
      <c r="J15" s="115"/>
      <c r="K15" s="113"/>
      <c r="L15" s="115"/>
      <c r="M15" s="113"/>
      <c r="N15" s="115"/>
      <c r="O15" s="113"/>
      <c r="P15" s="115"/>
      <c r="Q15" s="113"/>
      <c r="R15" s="115"/>
      <c r="S15" s="113"/>
      <c r="T15" s="115"/>
      <c r="U15" s="113"/>
      <c r="V15" s="115"/>
      <c r="W15" s="113"/>
      <c r="X15" s="115"/>
      <c r="Y15" s="117"/>
    </row>
    <row r="16" spans="1:25" ht="21" customHeight="1" x14ac:dyDescent="0.35">
      <c r="A16" s="135" t="s">
        <v>2</v>
      </c>
      <c r="B16" s="114" t="str">
        <f>'PLANILHA EXTRAÇÃO'!B12</f>
        <v>422386156R</v>
      </c>
      <c r="C16" s="112"/>
      <c r="D16" s="114">
        <f>'PLANILHA EXTRAÇÃO'!C12</f>
        <v>422386806</v>
      </c>
      <c r="E16" s="112"/>
      <c r="F16" s="114">
        <f>'PLANILHA EXTRAÇÃO'!D12</f>
        <v>422386798</v>
      </c>
      <c r="G16" s="112"/>
      <c r="H16" s="114">
        <f>'PLANILHA EXTRAÇÃO'!E12</f>
        <v>422387065</v>
      </c>
      <c r="I16" s="112"/>
      <c r="J16" s="114" t="str">
        <f>'PLANILHA EXTRAÇÃO'!F12</f>
        <v>X</v>
      </c>
      <c r="K16" s="112"/>
      <c r="L16" s="114" t="str">
        <f>'PLANILHA EXTRAÇÃO'!G12</f>
        <v>X</v>
      </c>
      <c r="M16" s="112"/>
      <c r="N16" s="114" t="str">
        <f>'PLANILHA EXTRAÇÃO'!H12</f>
        <v>X</v>
      </c>
      <c r="O16" s="112"/>
      <c r="P16" s="114" t="str">
        <f>'PLANILHA EXTRAÇÃO'!I12</f>
        <v>X</v>
      </c>
      <c r="Q16" s="112"/>
      <c r="R16" s="114" t="str">
        <f>'PLANILHA EXTRAÇÃO'!J12</f>
        <v>X</v>
      </c>
      <c r="S16" s="112"/>
      <c r="T16" s="114" t="str">
        <f>'PLANILHA EXTRAÇÃO'!K12</f>
        <v>X</v>
      </c>
      <c r="U16" s="112"/>
      <c r="V16" s="114" t="str">
        <f>'PLANILHA EXTRAÇÃO'!L12</f>
        <v>X</v>
      </c>
      <c r="W16" s="112"/>
      <c r="X16" s="114" t="str">
        <f>'PLANILHA EXTRAÇÃO'!M12</f>
        <v>X</v>
      </c>
      <c r="Y16" s="116"/>
    </row>
    <row r="17" spans="1:25" ht="21" customHeight="1" x14ac:dyDescent="0.35">
      <c r="A17" s="135"/>
      <c r="B17" s="115"/>
      <c r="C17" s="113"/>
      <c r="D17" s="115"/>
      <c r="E17" s="113"/>
      <c r="F17" s="115"/>
      <c r="G17" s="113"/>
      <c r="H17" s="115"/>
      <c r="I17" s="113"/>
      <c r="J17" s="115"/>
      <c r="K17" s="113"/>
      <c r="L17" s="115"/>
      <c r="M17" s="113"/>
      <c r="N17" s="115"/>
      <c r="O17" s="113"/>
      <c r="P17" s="115"/>
      <c r="Q17" s="113"/>
      <c r="R17" s="115"/>
      <c r="S17" s="113"/>
      <c r="T17" s="115"/>
      <c r="U17" s="113"/>
      <c r="V17" s="115"/>
      <c r="W17" s="113"/>
      <c r="X17" s="115"/>
      <c r="Y17" s="117"/>
    </row>
    <row r="18" spans="1:25" ht="21" customHeight="1" x14ac:dyDescent="0.35">
      <c r="A18" s="135" t="s">
        <v>3</v>
      </c>
      <c r="B18" s="114">
        <f>'PLANILHA EXTRAÇÃO'!B13</f>
        <v>422386625</v>
      </c>
      <c r="C18" s="112"/>
      <c r="D18" s="114">
        <f>'PLANILHA EXTRAÇÃO'!C13</f>
        <v>422386980</v>
      </c>
      <c r="E18" s="112"/>
      <c r="F18" s="114">
        <f>'PLANILHA EXTRAÇÃO'!D13</f>
        <v>422387130</v>
      </c>
      <c r="G18" s="112"/>
      <c r="H18" s="114">
        <f>'PLANILHA EXTRAÇÃO'!E13</f>
        <v>422387062</v>
      </c>
      <c r="I18" s="112"/>
      <c r="J18" s="114" t="str">
        <f>'PLANILHA EXTRAÇÃO'!F13</f>
        <v>X</v>
      </c>
      <c r="K18" s="112"/>
      <c r="L18" s="114" t="str">
        <f>'PLANILHA EXTRAÇÃO'!G13</f>
        <v>X</v>
      </c>
      <c r="M18" s="112"/>
      <c r="N18" s="114" t="str">
        <f>'PLANILHA EXTRAÇÃO'!H13</f>
        <v>X</v>
      </c>
      <c r="O18" s="112"/>
      <c r="P18" s="114" t="str">
        <f>'PLANILHA EXTRAÇÃO'!I13</f>
        <v>X</v>
      </c>
      <c r="Q18" s="112"/>
      <c r="R18" s="114" t="str">
        <f>'PLANILHA EXTRAÇÃO'!J13</f>
        <v>X</v>
      </c>
      <c r="S18" s="112"/>
      <c r="T18" s="114" t="str">
        <f>'PLANILHA EXTRAÇÃO'!K13</f>
        <v>X</v>
      </c>
      <c r="U18" s="112"/>
      <c r="V18" s="114" t="str">
        <f>'PLANILHA EXTRAÇÃO'!L13</f>
        <v>X</v>
      </c>
      <c r="W18" s="112"/>
      <c r="X18" s="114" t="str">
        <f>'PLANILHA EXTRAÇÃO'!M13</f>
        <v>X</v>
      </c>
      <c r="Y18" s="116"/>
    </row>
    <row r="19" spans="1:25" ht="21" customHeight="1" x14ac:dyDescent="0.35">
      <c r="A19" s="135"/>
      <c r="B19" s="115"/>
      <c r="C19" s="113"/>
      <c r="D19" s="115"/>
      <c r="E19" s="113"/>
      <c r="F19" s="115"/>
      <c r="G19" s="113"/>
      <c r="H19" s="115"/>
      <c r="I19" s="113"/>
      <c r="J19" s="115"/>
      <c r="K19" s="113"/>
      <c r="L19" s="115"/>
      <c r="M19" s="113"/>
      <c r="N19" s="115"/>
      <c r="O19" s="113"/>
      <c r="P19" s="115"/>
      <c r="Q19" s="113"/>
      <c r="R19" s="115"/>
      <c r="S19" s="113"/>
      <c r="T19" s="115"/>
      <c r="U19" s="113"/>
      <c r="V19" s="115"/>
      <c r="W19" s="113"/>
      <c r="X19" s="115"/>
      <c r="Y19" s="117"/>
    </row>
    <row r="20" spans="1:25" ht="21" customHeight="1" x14ac:dyDescent="0.35">
      <c r="A20" s="135" t="s">
        <v>4</v>
      </c>
      <c r="B20" s="114">
        <f>'PLANILHA EXTRAÇÃO'!B14</f>
        <v>422386851</v>
      </c>
      <c r="C20" s="112"/>
      <c r="D20" s="114">
        <f>'PLANILHA EXTRAÇÃO'!C14</f>
        <v>422385450</v>
      </c>
      <c r="E20" s="112"/>
      <c r="F20" s="114">
        <f>'PLANILHA EXTRAÇÃO'!D14</f>
        <v>422386593</v>
      </c>
      <c r="G20" s="112"/>
      <c r="H20" s="114">
        <f>'PLANILHA EXTRAÇÃO'!E14</f>
        <v>422387059</v>
      </c>
      <c r="I20" s="112"/>
      <c r="J20" s="114" t="str">
        <f>'PLANILHA EXTRAÇÃO'!F14</f>
        <v>X</v>
      </c>
      <c r="K20" s="112"/>
      <c r="L20" s="114" t="str">
        <f>'PLANILHA EXTRAÇÃO'!G14</f>
        <v>X</v>
      </c>
      <c r="M20" s="112"/>
      <c r="N20" s="114" t="str">
        <f>'PLANILHA EXTRAÇÃO'!H14</f>
        <v>X</v>
      </c>
      <c r="O20" s="112"/>
      <c r="P20" s="114" t="str">
        <f>'PLANILHA EXTRAÇÃO'!I14</f>
        <v>X</v>
      </c>
      <c r="Q20" s="112"/>
      <c r="R20" s="114" t="str">
        <f>'PLANILHA EXTRAÇÃO'!J14</f>
        <v>X</v>
      </c>
      <c r="S20" s="112"/>
      <c r="T20" s="114" t="str">
        <f>'PLANILHA EXTRAÇÃO'!K14</f>
        <v>X</v>
      </c>
      <c r="U20" s="112"/>
      <c r="V20" s="114" t="str">
        <f>'PLANILHA EXTRAÇÃO'!L14</f>
        <v>X</v>
      </c>
      <c r="W20" s="112"/>
      <c r="X20" s="114" t="str">
        <f>'PLANILHA EXTRAÇÃO'!M14</f>
        <v>X</v>
      </c>
      <c r="Y20" s="116"/>
    </row>
    <row r="21" spans="1:25" ht="21" customHeight="1" x14ac:dyDescent="0.35">
      <c r="A21" s="135"/>
      <c r="B21" s="115"/>
      <c r="C21" s="113"/>
      <c r="D21" s="115"/>
      <c r="E21" s="113"/>
      <c r="F21" s="115"/>
      <c r="G21" s="113"/>
      <c r="H21" s="115"/>
      <c r="I21" s="113"/>
      <c r="J21" s="115"/>
      <c r="K21" s="113"/>
      <c r="L21" s="115"/>
      <c r="M21" s="113"/>
      <c r="N21" s="115"/>
      <c r="O21" s="113"/>
      <c r="P21" s="115"/>
      <c r="Q21" s="113"/>
      <c r="R21" s="115"/>
      <c r="S21" s="113"/>
      <c r="T21" s="115"/>
      <c r="U21" s="113"/>
      <c r="V21" s="115"/>
      <c r="W21" s="113"/>
      <c r="X21" s="115"/>
      <c r="Y21" s="117"/>
    </row>
    <row r="22" spans="1:25" ht="21" customHeight="1" x14ac:dyDescent="0.35">
      <c r="A22" s="135" t="s">
        <v>5</v>
      </c>
      <c r="B22" s="114">
        <f>'PLANILHA EXTRAÇÃO'!B15</f>
        <v>422386866</v>
      </c>
      <c r="C22" s="112"/>
      <c r="D22" s="114">
        <f>'PLANILHA EXTRAÇÃO'!C15</f>
        <v>422386322</v>
      </c>
      <c r="E22" s="112"/>
      <c r="F22" s="114">
        <f>'PLANILHA EXTRAÇÃO'!D15</f>
        <v>422386852</v>
      </c>
      <c r="G22" s="112"/>
      <c r="H22" s="114">
        <f>'PLANILHA EXTRAÇÃO'!E15</f>
        <v>422387047</v>
      </c>
      <c r="I22" s="112"/>
      <c r="J22" s="114" t="str">
        <f>'PLANILHA EXTRAÇÃO'!F15</f>
        <v>X</v>
      </c>
      <c r="K22" s="112"/>
      <c r="L22" s="114" t="str">
        <f>'PLANILHA EXTRAÇÃO'!G15</f>
        <v>X</v>
      </c>
      <c r="M22" s="112"/>
      <c r="N22" s="114" t="str">
        <f>'PLANILHA EXTRAÇÃO'!H15</f>
        <v>X</v>
      </c>
      <c r="O22" s="112"/>
      <c r="P22" s="114" t="str">
        <f>'PLANILHA EXTRAÇÃO'!I15</f>
        <v>X</v>
      </c>
      <c r="Q22" s="112"/>
      <c r="R22" s="114" t="str">
        <f>'PLANILHA EXTRAÇÃO'!J15</f>
        <v>X</v>
      </c>
      <c r="S22" s="112"/>
      <c r="T22" s="114" t="str">
        <f>'PLANILHA EXTRAÇÃO'!K15</f>
        <v>X</v>
      </c>
      <c r="U22" s="112"/>
      <c r="V22" s="114" t="str">
        <f>'PLANILHA EXTRAÇÃO'!L15</f>
        <v>X</v>
      </c>
      <c r="W22" s="112"/>
      <c r="X22" s="114" t="str">
        <f>'PLANILHA EXTRAÇÃO'!M15</f>
        <v>X</v>
      </c>
      <c r="Y22" s="116"/>
    </row>
    <row r="23" spans="1:25" ht="21" customHeight="1" x14ac:dyDescent="0.35">
      <c r="A23" s="135"/>
      <c r="B23" s="115"/>
      <c r="C23" s="113"/>
      <c r="D23" s="115"/>
      <c r="E23" s="113"/>
      <c r="F23" s="115"/>
      <c r="G23" s="113"/>
      <c r="H23" s="115"/>
      <c r="I23" s="113"/>
      <c r="J23" s="115"/>
      <c r="K23" s="113"/>
      <c r="L23" s="115"/>
      <c r="M23" s="113"/>
      <c r="N23" s="115"/>
      <c r="O23" s="113"/>
      <c r="P23" s="115"/>
      <c r="Q23" s="113"/>
      <c r="R23" s="115"/>
      <c r="S23" s="113"/>
      <c r="T23" s="115"/>
      <c r="U23" s="113"/>
      <c r="V23" s="115"/>
      <c r="W23" s="113"/>
      <c r="X23" s="115"/>
      <c r="Y23" s="117"/>
    </row>
    <row r="24" spans="1:25" ht="21" customHeight="1" x14ac:dyDescent="0.35">
      <c r="A24" s="135" t="s">
        <v>6</v>
      </c>
      <c r="B24" s="114">
        <f>'PLANILHA EXTRAÇÃO'!B16</f>
        <v>422386883</v>
      </c>
      <c r="C24" s="112"/>
      <c r="D24" s="114">
        <f>'PLANILHA EXTRAÇÃO'!C16</f>
        <v>422386324</v>
      </c>
      <c r="E24" s="112"/>
      <c r="F24" s="114">
        <f>'PLANILHA EXTRAÇÃO'!D16</f>
        <v>422386928</v>
      </c>
      <c r="G24" s="112"/>
      <c r="H24" s="114">
        <f>'PLANILHA EXTRAÇÃO'!E16</f>
        <v>422387071</v>
      </c>
      <c r="I24" s="112"/>
      <c r="J24" s="114" t="str">
        <f>'PLANILHA EXTRAÇÃO'!F16</f>
        <v>X</v>
      </c>
      <c r="K24" s="112"/>
      <c r="L24" s="114" t="str">
        <f>'PLANILHA EXTRAÇÃO'!G16</f>
        <v>CN</v>
      </c>
      <c r="M24" s="112"/>
      <c r="N24" s="114" t="str">
        <f>'PLANILHA EXTRAÇÃO'!H16</f>
        <v>X</v>
      </c>
      <c r="O24" s="112"/>
      <c r="P24" s="114" t="str">
        <f>'PLANILHA EXTRAÇÃO'!I16</f>
        <v>X</v>
      </c>
      <c r="Q24" s="112"/>
      <c r="R24" s="114" t="str">
        <f>'PLANILHA EXTRAÇÃO'!J16</f>
        <v>X</v>
      </c>
      <c r="S24" s="112"/>
      <c r="T24" s="114" t="str">
        <f>'PLANILHA EXTRAÇÃO'!K16</f>
        <v>X</v>
      </c>
      <c r="U24" s="112"/>
      <c r="V24" s="114" t="str">
        <f>'PLANILHA EXTRAÇÃO'!L16</f>
        <v>X</v>
      </c>
      <c r="W24" s="112"/>
      <c r="X24" s="114" t="str">
        <f>'PLANILHA EXTRAÇÃO'!M16</f>
        <v>X</v>
      </c>
      <c r="Y24" s="116"/>
    </row>
    <row r="25" spans="1:25" ht="21" customHeight="1" x14ac:dyDescent="0.35">
      <c r="A25" s="135"/>
      <c r="B25" s="115"/>
      <c r="C25" s="113"/>
      <c r="D25" s="115"/>
      <c r="E25" s="113"/>
      <c r="F25" s="115"/>
      <c r="G25" s="113"/>
      <c r="H25" s="115"/>
      <c r="I25" s="113"/>
      <c r="J25" s="115"/>
      <c r="K25" s="113"/>
      <c r="L25" s="115"/>
      <c r="M25" s="113"/>
      <c r="N25" s="115"/>
      <c r="O25" s="113"/>
      <c r="P25" s="115"/>
      <c r="Q25" s="113"/>
      <c r="R25" s="115"/>
      <c r="S25" s="113"/>
      <c r="T25" s="115"/>
      <c r="U25" s="113"/>
      <c r="V25" s="115"/>
      <c r="W25" s="113"/>
      <c r="X25" s="115"/>
      <c r="Y25" s="117"/>
    </row>
    <row r="26" spans="1:25" ht="21" customHeight="1" x14ac:dyDescent="0.35">
      <c r="A26" s="135" t="s">
        <v>7</v>
      </c>
      <c r="B26" s="114">
        <f>'PLANILHA EXTRAÇÃO'!B17</f>
        <v>422386268</v>
      </c>
      <c r="C26" s="112"/>
      <c r="D26" s="114">
        <f>'PLANILHA EXTRAÇÃO'!C17</f>
        <v>422386282</v>
      </c>
      <c r="E26" s="112"/>
      <c r="F26" s="114">
        <f>'PLANILHA EXTRAÇÃO'!D17</f>
        <v>422387004</v>
      </c>
      <c r="G26" s="112"/>
      <c r="H26" s="114">
        <f>'PLANILHA EXTRAÇÃO'!E17</f>
        <v>422387075</v>
      </c>
      <c r="I26" s="112"/>
      <c r="J26" s="114" t="str">
        <f>'PLANILHA EXTRAÇÃO'!F17</f>
        <v>X</v>
      </c>
      <c r="K26" s="112"/>
      <c r="L26" s="114" t="str">
        <f>'PLANILHA EXTRAÇÃO'!G17</f>
        <v>CP</v>
      </c>
      <c r="M26" s="112"/>
      <c r="N26" s="114" t="str">
        <f>'PLANILHA EXTRAÇÃO'!H17</f>
        <v>X</v>
      </c>
      <c r="O26" s="112"/>
      <c r="P26" s="114" t="str">
        <f>'PLANILHA EXTRAÇÃO'!I17</f>
        <v>X</v>
      </c>
      <c r="Q26" s="112"/>
      <c r="R26" s="114" t="str">
        <f>'PLANILHA EXTRAÇÃO'!J17</f>
        <v>X</v>
      </c>
      <c r="S26" s="112"/>
      <c r="T26" s="114" t="str">
        <f>'PLANILHA EXTRAÇÃO'!K17</f>
        <v>X</v>
      </c>
      <c r="U26" s="112"/>
      <c r="V26" s="114" t="str">
        <f>'PLANILHA EXTRAÇÃO'!L17</f>
        <v>X</v>
      </c>
      <c r="W26" s="112"/>
      <c r="X26" s="114" t="str">
        <f>'PLANILHA EXTRAÇÃO'!M17</f>
        <v>X</v>
      </c>
      <c r="Y26" s="116"/>
    </row>
    <row r="27" spans="1:25" ht="21" customHeight="1" x14ac:dyDescent="0.35">
      <c r="A27" s="135"/>
      <c r="B27" s="115"/>
      <c r="C27" s="113"/>
      <c r="D27" s="115"/>
      <c r="E27" s="113"/>
      <c r="F27" s="115"/>
      <c r="G27" s="113"/>
      <c r="H27" s="115"/>
      <c r="I27" s="113"/>
      <c r="J27" s="115"/>
      <c r="K27" s="113"/>
      <c r="L27" s="115"/>
      <c r="M27" s="113"/>
      <c r="N27" s="115"/>
      <c r="O27" s="113"/>
      <c r="P27" s="115"/>
      <c r="Q27" s="113"/>
      <c r="R27" s="115"/>
      <c r="S27" s="113"/>
      <c r="T27" s="115"/>
      <c r="U27" s="113"/>
      <c r="V27" s="115"/>
      <c r="W27" s="113"/>
      <c r="X27" s="115"/>
      <c r="Y27" s="117"/>
    </row>
    <row r="28" spans="1:25" x14ac:dyDescent="0.35">
      <c r="B28" s="110" t="s">
        <v>51</v>
      </c>
      <c r="C28" s="111"/>
      <c r="D28" s="111"/>
      <c r="E28" s="111"/>
      <c r="F28" s="111"/>
      <c r="G28" s="8"/>
      <c r="O28" s="5"/>
      <c r="P28" s="118" t="s">
        <v>20</v>
      </c>
      <c r="Q28" s="118"/>
      <c r="R28" s="118"/>
      <c r="S28" s="28"/>
      <c r="T28" s="28"/>
    </row>
    <row r="29" spans="1:25" ht="15" customHeight="1" x14ac:dyDescent="0.35">
      <c r="B29" s="24"/>
      <c r="C29" s="128"/>
      <c r="D29" s="129"/>
      <c r="F29" s="9" t="s">
        <v>52</v>
      </c>
      <c r="G29" s="7"/>
      <c r="O29" s="25"/>
      <c r="P29" s="41"/>
      <c r="Q29" s="123"/>
      <c r="R29" s="123"/>
      <c r="S29" s="134" t="s">
        <v>15</v>
      </c>
      <c r="T29" s="134"/>
      <c r="U29" s="134"/>
      <c r="V29" s="134"/>
      <c r="W29" s="134"/>
      <c r="X29" s="134"/>
      <c r="Y29" s="134"/>
    </row>
    <row r="30" spans="1:25" ht="15" customHeight="1" x14ac:dyDescent="0.35">
      <c r="B30" s="24"/>
      <c r="C30" s="128"/>
      <c r="D30" s="129"/>
      <c r="F30" s="9" t="s">
        <v>53</v>
      </c>
      <c r="G30" s="7"/>
      <c r="O30" s="25"/>
      <c r="P30" s="41"/>
      <c r="Q30" s="123"/>
      <c r="R30" s="123"/>
      <c r="S30" s="130" t="s">
        <v>62</v>
      </c>
      <c r="T30" s="130"/>
      <c r="U30" s="130"/>
      <c r="V30" s="130"/>
      <c r="W30" s="130"/>
      <c r="X30" s="130"/>
      <c r="Y30" s="130"/>
    </row>
    <row r="31" spans="1:25" ht="15" customHeight="1" x14ac:dyDescent="0.35">
      <c r="B31" s="24"/>
      <c r="C31" s="128"/>
      <c r="D31" s="129"/>
      <c r="F31" s="9" t="s">
        <v>53</v>
      </c>
      <c r="G31" s="7"/>
      <c r="O31" s="25"/>
      <c r="P31" s="41"/>
      <c r="Q31" s="123"/>
      <c r="R31" s="123"/>
      <c r="S31" s="130" t="s">
        <v>63</v>
      </c>
      <c r="T31" s="130"/>
      <c r="U31" s="130"/>
      <c r="V31" s="130"/>
      <c r="W31" s="130"/>
      <c r="X31" s="130"/>
      <c r="Y31" s="130"/>
    </row>
    <row r="32" spans="1:25" ht="15" customHeight="1" x14ac:dyDescent="0.35">
      <c r="B32" s="24"/>
      <c r="C32" s="128"/>
      <c r="D32" s="129"/>
      <c r="F32" s="9" t="s">
        <v>53</v>
      </c>
      <c r="P32" s="24"/>
      <c r="Q32" s="127"/>
      <c r="R32" s="127"/>
      <c r="S32" s="130" t="s">
        <v>64</v>
      </c>
      <c r="T32" s="130"/>
      <c r="U32" s="130"/>
      <c r="V32" s="130"/>
      <c r="W32" s="130"/>
      <c r="X32" s="130"/>
      <c r="Y32" s="130"/>
    </row>
    <row r="33" spans="1:25" ht="15" customHeight="1" thickBot="1" x14ac:dyDescent="0.4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23"/>
    </row>
    <row r="34" spans="1:25" ht="15" customHeight="1" x14ac:dyDescent="0.35">
      <c r="B34" s="45"/>
      <c r="C34" s="43"/>
      <c r="D34" s="89" t="s">
        <v>56</v>
      </c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90"/>
    </row>
    <row r="35" spans="1:25" x14ac:dyDescent="0.35">
      <c r="A35" s="13"/>
      <c r="B35" s="34"/>
      <c r="C35" s="42"/>
      <c r="D35" s="92" t="s">
        <v>57</v>
      </c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3"/>
    </row>
    <row r="36" spans="1:25" x14ac:dyDescent="0.35">
      <c r="A36" s="10"/>
      <c r="B36" s="35"/>
      <c r="C36" s="44"/>
      <c r="D36" s="95" t="s">
        <v>54</v>
      </c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6"/>
    </row>
    <row r="37" spans="1:25" ht="15" thickBot="1" x14ac:dyDescent="0.4">
      <c r="A37" s="10"/>
      <c r="B37" s="35"/>
      <c r="C37" s="44"/>
      <c r="D37" s="98" t="s">
        <v>55</v>
      </c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9"/>
    </row>
    <row r="38" spans="1:25" ht="15" thickBot="1" x14ac:dyDescent="0.4">
      <c r="A38" s="12"/>
      <c r="B38" s="35"/>
      <c r="C38" s="44"/>
      <c r="D38" s="125" t="s">
        <v>90</v>
      </c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6"/>
    </row>
    <row r="39" spans="1:25" ht="15" thickBot="1" x14ac:dyDescent="0.4">
      <c r="B39" s="102" t="s">
        <v>91</v>
      </c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4"/>
    </row>
    <row r="40" spans="1:25" ht="15" thickBot="1" x14ac:dyDescent="0.4">
      <c r="A40" s="9"/>
      <c r="Y40" s="9"/>
    </row>
    <row r="41" spans="1:25" ht="15" thickBot="1" x14ac:dyDescent="0.4">
      <c r="A41" s="9"/>
      <c r="B41" s="102" t="s">
        <v>18</v>
      </c>
      <c r="C41" s="103"/>
      <c r="D41" s="119"/>
      <c r="E41" s="124" t="s">
        <v>21</v>
      </c>
      <c r="F41" s="119"/>
      <c r="G41" s="124" t="s">
        <v>25</v>
      </c>
      <c r="H41" s="119"/>
      <c r="I41" s="124" t="s">
        <v>26</v>
      </c>
      <c r="J41" s="104"/>
      <c r="N41" s="102" t="s">
        <v>66</v>
      </c>
      <c r="O41" s="103"/>
      <c r="P41" s="103"/>
      <c r="Q41" s="103"/>
      <c r="R41" s="46"/>
      <c r="U41" s="13"/>
      <c r="V41" s="13" t="s">
        <v>42</v>
      </c>
      <c r="W41" s="13"/>
      <c r="X41" s="13"/>
      <c r="Y41" s="9"/>
    </row>
    <row r="42" spans="1:25" x14ac:dyDescent="0.35">
      <c r="A42" s="9"/>
      <c r="B42" s="120" t="s">
        <v>24</v>
      </c>
      <c r="C42" s="121"/>
      <c r="D42" s="122"/>
      <c r="E42" s="131" t="s">
        <v>30</v>
      </c>
      <c r="F42" s="133"/>
      <c r="G42" s="131" t="s">
        <v>32</v>
      </c>
      <c r="H42" s="133"/>
      <c r="I42" s="131"/>
      <c r="J42" s="132"/>
      <c r="K42" s="9"/>
      <c r="N42" s="171" t="s">
        <v>22</v>
      </c>
      <c r="O42" s="172"/>
      <c r="P42" s="173"/>
      <c r="Q42" s="169" t="s">
        <v>23</v>
      </c>
      <c r="R42" s="170"/>
      <c r="V42" t="s">
        <v>50</v>
      </c>
      <c r="Y42" s="9"/>
    </row>
    <row r="43" spans="1:25" x14ac:dyDescent="0.35">
      <c r="A43" s="9"/>
      <c r="B43" s="149" t="s">
        <v>65</v>
      </c>
      <c r="C43" s="141"/>
      <c r="D43" s="142"/>
      <c r="E43" s="153" t="s">
        <v>31</v>
      </c>
      <c r="F43" s="157"/>
      <c r="G43" s="153" t="s">
        <v>32</v>
      </c>
      <c r="H43" s="157"/>
      <c r="I43" s="153"/>
      <c r="J43" s="154"/>
      <c r="N43" s="166" t="s">
        <v>33</v>
      </c>
      <c r="O43" s="167"/>
      <c r="P43" s="157"/>
      <c r="Q43" s="153" t="s">
        <v>34</v>
      </c>
      <c r="R43" s="154"/>
      <c r="V43" t="s">
        <v>43</v>
      </c>
      <c r="Y43" s="9"/>
    </row>
    <row r="44" spans="1:25" ht="15" thickBot="1" x14ac:dyDescent="0.4">
      <c r="A44" s="9"/>
      <c r="B44" s="150" t="s">
        <v>19</v>
      </c>
      <c r="C44" s="151"/>
      <c r="D44" s="152"/>
      <c r="E44" s="155" t="s">
        <v>31</v>
      </c>
      <c r="F44" s="158"/>
      <c r="G44" s="155" t="s">
        <v>32</v>
      </c>
      <c r="H44" s="158"/>
      <c r="I44" s="155"/>
      <c r="J44" s="156"/>
      <c r="N44" s="174" t="s">
        <v>33</v>
      </c>
      <c r="O44" s="175"/>
      <c r="P44" s="176"/>
      <c r="Q44" s="153" t="s">
        <v>34</v>
      </c>
      <c r="R44" s="154"/>
      <c r="V44" t="s">
        <v>44</v>
      </c>
      <c r="Y44" s="9"/>
    </row>
    <row r="45" spans="1:25" x14ac:dyDescent="0.35">
      <c r="A45" s="9"/>
      <c r="B45" s="13" t="s">
        <v>68</v>
      </c>
      <c r="C45" s="9"/>
      <c r="D45" s="9"/>
      <c r="E45" s="9"/>
      <c r="F45" s="9"/>
      <c r="G45" s="9"/>
      <c r="H45" s="9"/>
      <c r="I45" s="9"/>
      <c r="J45" s="9"/>
      <c r="N45" s="51" t="s">
        <v>67</v>
      </c>
      <c r="O45" s="177" t="s">
        <v>33</v>
      </c>
      <c r="P45" s="178"/>
      <c r="Q45" s="153" t="s">
        <v>35</v>
      </c>
      <c r="R45" s="154"/>
      <c r="V45" t="s">
        <v>45</v>
      </c>
      <c r="Y45" s="9"/>
    </row>
    <row r="46" spans="1:25" ht="15" thickBot="1" x14ac:dyDescent="0.4">
      <c r="A46" s="9"/>
      <c r="B46" s="9" t="s">
        <v>69</v>
      </c>
      <c r="C46" s="9"/>
      <c r="D46" s="9"/>
      <c r="E46" s="9"/>
      <c r="F46" s="9"/>
      <c r="G46" s="9"/>
      <c r="H46" s="9"/>
      <c r="I46" s="9"/>
      <c r="J46" s="9"/>
      <c r="N46" s="52"/>
      <c r="O46" s="179" t="s">
        <v>33</v>
      </c>
      <c r="P46" s="180"/>
      <c r="Q46" s="155" t="s">
        <v>35</v>
      </c>
      <c r="R46" s="156"/>
      <c r="V46" t="s">
        <v>46</v>
      </c>
      <c r="Y46" s="9"/>
    </row>
    <row r="47" spans="1:25" s="27" customFormat="1" x14ac:dyDescent="0.35">
      <c r="A47" s="13"/>
      <c r="B47" s="9" t="s">
        <v>36</v>
      </c>
      <c r="K47" s="9"/>
      <c r="U47"/>
      <c r="V47" t="s">
        <v>47</v>
      </c>
      <c r="W47"/>
      <c r="X47"/>
      <c r="Y47" s="13"/>
    </row>
    <row r="48" spans="1:25" x14ac:dyDescent="0.35">
      <c r="A48" s="9"/>
      <c r="K48" s="9"/>
      <c r="Q48" s="9"/>
      <c r="V48" t="s">
        <v>48</v>
      </c>
      <c r="W48" s="9"/>
      <c r="X48" s="9"/>
      <c r="Y48" s="9"/>
    </row>
    <row r="49" spans="1:25" x14ac:dyDescent="0.3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V49" t="s">
        <v>49</v>
      </c>
      <c r="Y49" s="9"/>
    </row>
    <row r="50" spans="1:25" x14ac:dyDescent="0.3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x14ac:dyDescent="0.35">
      <c r="A51" s="9"/>
      <c r="B51" s="13" t="s">
        <v>37</v>
      </c>
      <c r="C51" s="13"/>
      <c r="D51" s="13"/>
      <c r="E51" s="13"/>
      <c r="F51" s="13"/>
      <c r="G51" s="13"/>
      <c r="H51" s="13"/>
      <c r="I51" s="13"/>
      <c r="J51" s="13"/>
      <c r="K51" s="13" t="s">
        <v>38</v>
      </c>
      <c r="L51" s="13"/>
      <c r="M51" s="13"/>
      <c r="N51" s="13"/>
      <c r="O51" s="27"/>
      <c r="P51" s="27"/>
      <c r="Q51" s="13" t="s">
        <v>39</v>
      </c>
      <c r="R51" s="18"/>
      <c r="S51" s="13"/>
      <c r="T51" s="13"/>
      <c r="U51" s="13"/>
      <c r="V51" s="13"/>
    </row>
    <row r="52" spans="1:25" x14ac:dyDescent="0.35">
      <c r="A52" s="9"/>
    </row>
    <row r="53" spans="1:25" x14ac:dyDescent="0.35">
      <c r="A53" s="9"/>
    </row>
    <row r="54" spans="1:25" ht="15.5" x14ac:dyDescent="0.35">
      <c r="A54" s="9"/>
      <c r="B54" s="33" t="s">
        <v>40</v>
      </c>
      <c r="C54" s="6"/>
      <c r="D54" s="25"/>
      <c r="E54" s="6"/>
      <c r="F54" s="6"/>
      <c r="G54" s="6"/>
      <c r="H54" s="6"/>
      <c r="N54" s="33" t="s">
        <v>41</v>
      </c>
    </row>
    <row r="55" spans="1:25" x14ac:dyDescent="0.35">
      <c r="A55" s="9"/>
      <c r="B55" s="6"/>
      <c r="C55" s="6"/>
      <c r="D55" s="25"/>
      <c r="E55" s="6"/>
      <c r="F55" s="6"/>
      <c r="G55" s="6"/>
      <c r="H55" s="6"/>
      <c r="W55" s="9"/>
      <c r="X55" s="9"/>
      <c r="Y55" s="9"/>
    </row>
    <row r="56" spans="1:25" x14ac:dyDescent="0.35">
      <c r="A56" s="9"/>
      <c r="B56" s="6"/>
      <c r="C56" s="6"/>
      <c r="D56" s="25"/>
      <c r="E56" s="6"/>
      <c r="F56" s="6"/>
      <c r="G56" s="6"/>
      <c r="H56" s="6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x14ac:dyDescent="0.35">
      <c r="A57" s="9"/>
      <c r="B57" s="6"/>
      <c r="C57" s="6"/>
      <c r="D57" s="25"/>
      <c r="E57" s="6"/>
      <c r="F57" s="6"/>
      <c r="G57" s="6"/>
      <c r="H57" s="6"/>
      <c r="U57" s="9"/>
      <c r="V57" s="9"/>
      <c r="W57" s="9"/>
      <c r="X57" s="9"/>
      <c r="Y57" s="9"/>
    </row>
    <row r="58" spans="1:25" x14ac:dyDescent="0.35">
      <c r="A58" s="9"/>
      <c r="T58" s="9"/>
      <c r="U58" s="9"/>
      <c r="V58" s="9"/>
      <c r="W58" s="9"/>
      <c r="X58" s="9"/>
      <c r="Y58" s="9"/>
    </row>
    <row r="59" spans="1:25" x14ac:dyDescent="0.35">
      <c r="A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O59" s="9"/>
      <c r="P59" s="9"/>
      <c r="Q59" s="9"/>
      <c r="R59" s="15"/>
      <c r="S59" s="9"/>
      <c r="T59" s="9"/>
      <c r="U59" s="9"/>
      <c r="V59" s="9"/>
      <c r="W59" s="9"/>
      <c r="X59" s="9"/>
      <c r="Y59" s="9"/>
    </row>
    <row r="60" spans="1:25" x14ac:dyDescent="0.35">
      <c r="A60" s="9"/>
      <c r="I60" s="9"/>
      <c r="J60" s="9"/>
      <c r="K60" s="9"/>
      <c r="L60" s="9"/>
      <c r="M60" s="9"/>
      <c r="N60" s="9"/>
      <c r="O60" s="9"/>
      <c r="P60" s="9"/>
      <c r="Q60" s="9"/>
      <c r="R60" s="15"/>
      <c r="S60" s="9"/>
      <c r="T60" s="9"/>
      <c r="U60" s="9"/>
      <c r="V60" s="9"/>
      <c r="W60" s="9"/>
      <c r="X60" s="9"/>
      <c r="Y60" s="9"/>
    </row>
    <row r="61" spans="1:25" x14ac:dyDescent="0.35">
      <c r="A61" s="9"/>
      <c r="I61" s="9"/>
      <c r="J61" s="9"/>
      <c r="K61" s="9"/>
      <c r="L61" s="9"/>
      <c r="M61" s="9"/>
      <c r="N61" s="9"/>
      <c r="O61" s="9"/>
      <c r="P61" s="9"/>
      <c r="Q61" s="9"/>
      <c r="R61" s="15"/>
      <c r="S61" s="9"/>
      <c r="T61" s="9"/>
      <c r="U61" s="9"/>
      <c r="V61" s="9"/>
      <c r="W61" s="9"/>
      <c r="X61" s="9"/>
      <c r="Y61" s="9"/>
    </row>
    <row r="62" spans="1:25" x14ac:dyDescent="0.35">
      <c r="A62" s="9"/>
      <c r="B62" s="165" t="s">
        <v>20</v>
      </c>
      <c r="C62" s="165"/>
      <c r="D62" s="165"/>
      <c r="E62" s="165"/>
      <c r="F62" s="165"/>
      <c r="G62" s="165"/>
      <c r="H62" s="165"/>
      <c r="I62" s="9"/>
      <c r="J62" s="9"/>
      <c r="K62" s="9"/>
      <c r="L62" s="9"/>
      <c r="M62" s="9"/>
      <c r="N62" s="9"/>
      <c r="O62" s="9"/>
      <c r="P62" s="9"/>
      <c r="Q62" s="9"/>
      <c r="R62" s="15"/>
      <c r="S62" s="9"/>
      <c r="T62" s="9"/>
      <c r="U62" s="9"/>
      <c r="V62" s="9"/>
      <c r="W62" s="9"/>
      <c r="X62" s="9"/>
      <c r="Y62" s="9"/>
    </row>
    <row r="63" spans="1:25" x14ac:dyDescent="0.35">
      <c r="A63" s="15"/>
      <c r="B63" s="53" t="s">
        <v>70</v>
      </c>
      <c r="C63" s="161"/>
      <c r="D63" s="162"/>
      <c r="E63" s="168" t="s">
        <v>71</v>
      </c>
      <c r="F63" s="168"/>
      <c r="G63" s="148"/>
      <c r="H63" s="148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9"/>
      <c r="T63" s="9"/>
      <c r="U63" s="9"/>
      <c r="V63" s="9"/>
      <c r="W63" s="9"/>
      <c r="X63" s="9"/>
      <c r="Y63" s="9"/>
    </row>
    <row r="64" spans="1:25" x14ac:dyDescent="0.35">
      <c r="A64" s="15"/>
      <c r="B64" s="53"/>
      <c r="C64" s="161"/>
      <c r="D64" s="162"/>
      <c r="E64" s="148"/>
      <c r="F64" s="148"/>
      <c r="G64" s="148"/>
      <c r="H64" s="148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9"/>
      <c r="T64" s="9"/>
      <c r="U64" s="9"/>
      <c r="V64" s="9"/>
      <c r="W64" s="9"/>
      <c r="X64" s="9"/>
      <c r="Y64" s="9"/>
    </row>
    <row r="65" spans="1:25" x14ac:dyDescent="0.35">
      <c r="A65" s="15"/>
      <c r="B65" s="53"/>
      <c r="C65" s="161"/>
      <c r="D65" s="162"/>
      <c r="E65" s="148"/>
      <c r="F65" s="148"/>
      <c r="G65" s="148"/>
      <c r="H65" s="148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9"/>
      <c r="T65" s="9"/>
      <c r="U65" s="9"/>
      <c r="V65" s="9"/>
      <c r="W65" s="9"/>
      <c r="X65" s="9"/>
      <c r="Y65" s="9"/>
    </row>
    <row r="66" spans="1:25" x14ac:dyDescent="0.35">
      <c r="A66" s="15"/>
      <c r="B66" s="53"/>
      <c r="C66" s="161"/>
      <c r="D66" s="162"/>
      <c r="E66" s="148"/>
      <c r="F66" s="148"/>
      <c r="G66" s="148"/>
      <c r="H66" s="148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9"/>
      <c r="T66" s="9"/>
      <c r="U66" s="9"/>
      <c r="V66" s="9"/>
      <c r="W66" s="9"/>
      <c r="X66" s="9"/>
      <c r="Y66" s="9"/>
    </row>
    <row r="67" spans="1:25" x14ac:dyDescent="0.35">
      <c r="A67" s="15"/>
      <c r="B67" s="54"/>
      <c r="C67" s="163"/>
      <c r="D67" s="164"/>
      <c r="E67" s="123"/>
      <c r="F67" s="123"/>
      <c r="G67" s="123"/>
      <c r="H67" s="123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x14ac:dyDescent="0.35">
      <c r="A68" s="15"/>
      <c r="B68" s="54"/>
      <c r="C68" s="163"/>
      <c r="D68" s="164"/>
      <c r="E68" s="123"/>
      <c r="F68" s="123"/>
      <c r="G68" s="123"/>
      <c r="H68" s="123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x14ac:dyDescent="0.35">
      <c r="A69" s="15"/>
      <c r="B69" s="54"/>
      <c r="C69" s="163"/>
      <c r="D69" s="164"/>
      <c r="E69" s="123"/>
      <c r="F69" s="123"/>
      <c r="G69" s="123"/>
      <c r="H69" s="123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</sheetData>
  <sheetProtection formatCells="0"/>
  <mergeCells count="285">
    <mergeCell ref="Q43:R43"/>
    <mergeCell ref="Q42:R42"/>
    <mergeCell ref="Q44:R44"/>
    <mergeCell ref="Q45:R45"/>
    <mergeCell ref="Q46:R46"/>
    <mergeCell ref="N42:P42"/>
    <mergeCell ref="G65:H65"/>
    <mergeCell ref="G66:H66"/>
    <mergeCell ref="G67:H67"/>
    <mergeCell ref="N44:P44"/>
    <mergeCell ref="O45:P45"/>
    <mergeCell ref="O46:P46"/>
    <mergeCell ref="G69:H69"/>
    <mergeCell ref="X8:Y8"/>
    <mergeCell ref="V8:W8"/>
    <mergeCell ref="K8:L8"/>
    <mergeCell ref="M8:U8"/>
    <mergeCell ref="R16:R17"/>
    <mergeCell ref="N41:Q41"/>
    <mergeCell ref="B39:Y39"/>
    <mergeCell ref="P14:P15"/>
    <mergeCell ref="Q14:Q15"/>
    <mergeCell ref="R14:R15"/>
    <mergeCell ref="J14:J15"/>
    <mergeCell ref="K14:K15"/>
    <mergeCell ref="L14:L15"/>
    <mergeCell ref="C63:D63"/>
    <mergeCell ref="C64:D64"/>
    <mergeCell ref="C65:D65"/>
    <mergeCell ref="C66:D66"/>
    <mergeCell ref="C67:D67"/>
    <mergeCell ref="C68:D68"/>
    <mergeCell ref="C69:D69"/>
    <mergeCell ref="B62:H62"/>
    <mergeCell ref="N43:P43"/>
    <mergeCell ref="E63:F63"/>
    <mergeCell ref="B43:D43"/>
    <mergeCell ref="B44:D44"/>
    <mergeCell ref="I43:J43"/>
    <mergeCell ref="I44:J44"/>
    <mergeCell ref="G43:H43"/>
    <mergeCell ref="G44:H44"/>
    <mergeCell ref="E43:F43"/>
    <mergeCell ref="E44:F44"/>
    <mergeCell ref="E68:F68"/>
    <mergeCell ref="G68:H68"/>
    <mergeCell ref="E64:F64"/>
    <mergeCell ref="E65:F65"/>
    <mergeCell ref="E66:F66"/>
    <mergeCell ref="E67:F67"/>
    <mergeCell ref="E69:F69"/>
    <mergeCell ref="G63:H63"/>
    <mergeCell ref="G64:H64"/>
    <mergeCell ref="M14:M15"/>
    <mergeCell ref="N14:N15"/>
    <mergeCell ref="O14:O15"/>
    <mergeCell ref="Y14:Y15"/>
    <mergeCell ref="S14:S15"/>
    <mergeCell ref="T14:T15"/>
    <mergeCell ref="U14:U15"/>
    <mergeCell ref="Y16:Y17"/>
    <mergeCell ref="V16:V17"/>
    <mergeCell ref="W16:W17"/>
    <mergeCell ref="X16:X17"/>
    <mergeCell ref="S16:S17"/>
    <mergeCell ref="V14:V15"/>
    <mergeCell ref="W14:W15"/>
    <mergeCell ref="X14:X15"/>
    <mergeCell ref="T16:T17"/>
    <mergeCell ref="U16:U17"/>
    <mergeCell ref="Q16:Q17"/>
    <mergeCell ref="G20:G21"/>
    <mergeCell ref="H20:H21"/>
    <mergeCell ref="I20:I21"/>
    <mergeCell ref="D1:Y1"/>
    <mergeCell ref="D3:Y3"/>
    <mergeCell ref="D5:Y5"/>
    <mergeCell ref="B9:C9"/>
    <mergeCell ref="H12:H13"/>
    <mergeCell ref="I12:I13"/>
    <mergeCell ref="J12:J13"/>
    <mergeCell ref="K12:K13"/>
    <mergeCell ref="L12:L13"/>
    <mergeCell ref="O12:O13"/>
    <mergeCell ref="P12:P13"/>
    <mergeCell ref="Q12:Q13"/>
    <mergeCell ref="R12:R13"/>
    <mergeCell ref="N12:N13"/>
    <mergeCell ref="B6:Y6"/>
    <mergeCell ref="B8:I8"/>
    <mergeCell ref="D2:Y2"/>
    <mergeCell ref="D4:Y4"/>
    <mergeCell ref="D9:L9"/>
    <mergeCell ref="M9:P9"/>
    <mergeCell ref="Q9:U9"/>
    <mergeCell ref="V9:Y9"/>
    <mergeCell ref="A12:A13"/>
    <mergeCell ref="B12:B13"/>
    <mergeCell ref="C12:C13"/>
    <mergeCell ref="D12:D13"/>
    <mergeCell ref="E12:E13"/>
    <mergeCell ref="F12:F13"/>
    <mergeCell ref="Y12:Y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S12:S13"/>
    <mergeCell ref="T12:T13"/>
    <mergeCell ref="U12:U13"/>
    <mergeCell ref="V12:V13"/>
    <mergeCell ref="W12:W13"/>
    <mergeCell ref="G12:G13"/>
    <mergeCell ref="X12:X13"/>
    <mergeCell ref="M12:M13"/>
    <mergeCell ref="A18:A19"/>
    <mergeCell ref="B18:B19"/>
    <mergeCell ref="C18:C19"/>
    <mergeCell ref="D18:D19"/>
    <mergeCell ref="F18:F19"/>
    <mergeCell ref="E18:E19"/>
    <mergeCell ref="U18:U19"/>
    <mergeCell ref="J18:J19"/>
    <mergeCell ref="K18:K19"/>
    <mergeCell ref="L18:L19"/>
    <mergeCell ref="M18:M19"/>
    <mergeCell ref="N18:N19"/>
    <mergeCell ref="O18:O19"/>
    <mergeCell ref="G18:G19"/>
    <mergeCell ref="H18:H19"/>
    <mergeCell ref="I18:I19"/>
    <mergeCell ref="T18:T19"/>
    <mergeCell ref="R18:R19"/>
    <mergeCell ref="A16:A17"/>
    <mergeCell ref="B16:B17"/>
    <mergeCell ref="C16:C17"/>
    <mergeCell ref="S18:S19"/>
    <mergeCell ref="I16:I17"/>
    <mergeCell ref="D16:D17"/>
    <mergeCell ref="E16:E17"/>
    <mergeCell ref="A20:A21"/>
    <mergeCell ref="B20:B21"/>
    <mergeCell ref="C20:C21"/>
    <mergeCell ref="D20:D21"/>
    <mergeCell ref="E20:E21"/>
    <mergeCell ref="F20:F21"/>
    <mergeCell ref="Q18:Q19"/>
    <mergeCell ref="G16:G17"/>
    <mergeCell ref="H16:H17"/>
    <mergeCell ref="J16:J17"/>
    <mergeCell ref="K16:K17"/>
    <mergeCell ref="L16:L17"/>
    <mergeCell ref="F16:F17"/>
    <mergeCell ref="M16:M17"/>
    <mergeCell ref="N16:N17"/>
    <mergeCell ref="O16:O17"/>
    <mergeCell ref="P16:P17"/>
    <mergeCell ref="J20:J21"/>
    <mergeCell ref="K20:K21"/>
    <mergeCell ref="O20:O21"/>
    <mergeCell ref="P20:P21"/>
    <mergeCell ref="Q20:Q21"/>
    <mergeCell ref="R20:R21"/>
    <mergeCell ref="N20:N21"/>
    <mergeCell ref="L20:L21"/>
    <mergeCell ref="V18:V19"/>
    <mergeCell ref="W18:W19"/>
    <mergeCell ref="X18:X19"/>
    <mergeCell ref="N22:N23"/>
    <mergeCell ref="O22:O23"/>
    <mergeCell ref="Y20:Y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S20:S21"/>
    <mergeCell ref="T20:T21"/>
    <mergeCell ref="U20:U21"/>
    <mergeCell ref="V20:V21"/>
    <mergeCell ref="W20:W21"/>
    <mergeCell ref="X20:X21"/>
    <mergeCell ref="M20:M21"/>
    <mergeCell ref="Y18:Y19"/>
    <mergeCell ref="P18:P19"/>
    <mergeCell ref="P22:P23"/>
    <mergeCell ref="M22:M23"/>
    <mergeCell ref="M24:M25"/>
    <mergeCell ref="N24:N25"/>
    <mergeCell ref="O24:O25"/>
    <mergeCell ref="P24:P25"/>
    <mergeCell ref="Q24:Q25"/>
    <mergeCell ref="J24:J25"/>
    <mergeCell ref="K24:K25"/>
    <mergeCell ref="L24:L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Q31:R31"/>
    <mergeCell ref="S26:S27"/>
    <mergeCell ref="T26:T27"/>
    <mergeCell ref="U26:U27"/>
    <mergeCell ref="Q22:Q23"/>
    <mergeCell ref="R22:R23"/>
    <mergeCell ref="R24:R25"/>
    <mergeCell ref="P26:P27"/>
    <mergeCell ref="Q26:Q27"/>
    <mergeCell ref="R26:R27"/>
    <mergeCell ref="T22:T23"/>
    <mergeCell ref="U22:U23"/>
    <mergeCell ref="S24:S25"/>
    <mergeCell ref="T24:T25"/>
    <mergeCell ref="U24:U25"/>
    <mergeCell ref="B41:D41"/>
    <mergeCell ref="B42:D42"/>
    <mergeCell ref="Q29:R29"/>
    <mergeCell ref="E41:F41"/>
    <mergeCell ref="G41:H41"/>
    <mergeCell ref="I41:J41"/>
    <mergeCell ref="D38:Y38"/>
    <mergeCell ref="Q32:R32"/>
    <mergeCell ref="C30:D30"/>
    <mergeCell ref="C31:D31"/>
    <mergeCell ref="C32:D32"/>
    <mergeCell ref="D34:Y34"/>
    <mergeCell ref="D35:Y35"/>
    <mergeCell ref="D36:Y36"/>
    <mergeCell ref="D37:Y37"/>
    <mergeCell ref="C29:D29"/>
    <mergeCell ref="S30:Y30"/>
    <mergeCell ref="I42:J42"/>
    <mergeCell ref="E42:F42"/>
    <mergeCell ref="G42:H42"/>
    <mergeCell ref="S31:Y31"/>
    <mergeCell ref="S32:Y32"/>
    <mergeCell ref="S29:Y29"/>
    <mergeCell ref="Q30:R30"/>
    <mergeCell ref="B28:F28"/>
    <mergeCell ref="W24:W25"/>
    <mergeCell ref="X24:X25"/>
    <mergeCell ref="V26:V27"/>
    <mergeCell ref="W26:W27"/>
    <mergeCell ref="X26:X27"/>
    <mergeCell ref="Y22:Y23"/>
    <mergeCell ref="X22:X23"/>
    <mergeCell ref="Y26:Y27"/>
    <mergeCell ref="S22:S23"/>
    <mergeCell ref="V22:V23"/>
    <mergeCell ref="W22:W23"/>
    <mergeCell ref="P28:R28"/>
    <mergeCell ref="Y24:Y25"/>
    <mergeCell ref="V24:V25"/>
    <mergeCell ref="K26:K27"/>
    <mergeCell ref="L26:L27"/>
    <mergeCell ref="M26:M27"/>
    <mergeCell ref="N26:N27"/>
    <mergeCell ref="O26:O27"/>
    <mergeCell ref="J26:J27"/>
    <mergeCell ref="J22:J23"/>
    <mergeCell ref="K22:K23"/>
    <mergeCell ref="L22:L23"/>
  </mergeCells>
  <pageMargins left="0.59055118110236227" right="0.11811023622047245" top="0.59055118110236227" bottom="0.59055118110236227" header="0.31496062992125984" footer="0.31496062992125984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PLANILHA EXTRAÇÃO</vt:lpstr>
      <vt:lpstr>PLANILHA DETECÇÃO</vt:lpstr>
      <vt:lpstr>'PLANILHA DETECÇÃO'!Area_de_impressao</vt:lpstr>
      <vt:lpstr>'PLANILHA EXTRAÇÃO'!Area_de_impressao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LACEN</dc:creator>
  <cp:lastModifiedBy>Márcio Pacheco de Andrade</cp:lastModifiedBy>
  <cp:lastPrinted>2025-07-18T17:43:03Z</cp:lastPrinted>
  <dcterms:created xsi:type="dcterms:W3CDTF">2020-08-19T16:55:40Z</dcterms:created>
  <dcterms:modified xsi:type="dcterms:W3CDTF">2025-10-15T06:16:45Z</dcterms:modified>
</cp:coreProperties>
</file>